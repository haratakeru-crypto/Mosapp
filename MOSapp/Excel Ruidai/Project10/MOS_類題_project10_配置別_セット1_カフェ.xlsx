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10\"/>
    </mc:Choice>
  </mc:AlternateContent>
  <xr:revisionPtr revIDLastSave="0" documentId="13_ncr:1_{D3E53398-ECA9-4A0D-B1ED-005E762EF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タッフ名簿" sheetId="2" r:id="rId1"/>
    <sheet name="食材配送" sheetId="3" r:id="rId2"/>
    <sheet name="メニュー在庫" sheetId="4" r:id="rId3"/>
    <sheet name="シフト予定" sheetId="5" r:id="rId4"/>
    <sheet name="売上ランキング" sheetId="6" r:id="rId5"/>
    <sheet name="仕入在庫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J11" i="4" s="1"/>
  <c r="J15" i="4" s="1"/>
  <c r="J8" i="4"/>
  <c r="J12" i="4" s="1"/>
  <c r="J16" i="4" s="1"/>
  <c r="J20" i="4" s="1"/>
  <c r="J24" i="4" s="1"/>
  <c r="J9" i="4"/>
  <c r="J13" i="4" s="1"/>
  <c r="J17" i="4" s="1"/>
  <c r="J21" i="4" s="1"/>
  <c r="J25" i="4" s="1"/>
  <c r="J10" i="4"/>
  <c r="J14" i="4" s="1"/>
  <c r="J18" i="4" s="1"/>
  <c r="J22" i="4" s="1"/>
  <c r="J26" i="4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7" i="4"/>
  <c r="E4" i="5" a="1"/>
  <c r="E4" i="5" s="1"/>
  <c r="J19" i="4" l="1"/>
  <c r="J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<sst xmlns="http://schemas.openxmlformats.org/spreadsheetml/2006/main" count="272" uniqueCount="120">
  <si>
    <t>No</t>
  </si>
  <si>
    <t>氏名</t>
  </si>
  <si>
    <t>試験点数</t>
  </si>
  <si>
    <t>資格手当</t>
  </si>
  <si>
    <t>整理番号</t>
  </si>
  <si>
    <t>重量</t>
  </si>
  <si>
    <t>配送手当</t>
  </si>
  <si>
    <t>賞味残日数</t>
  </si>
  <si>
    <t>単価</t>
  </si>
  <si>
    <t>数量</t>
  </si>
  <si>
    <t>分類</t>
  </si>
  <si>
    <t>紅茶葉</t>
  </si>
  <si>
    <t>開始時間</t>
  </si>
  <si>
    <t>売上合計</t>
  </si>
  <si>
    <t>店舗</t>
  </si>
  <si>
    <t>山田 太郎</t>
  </si>
  <si>
    <t>新宿</t>
  </si>
  <si>
    <t>佐藤 花子</t>
  </si>
  <si>
    <t>渋谷</t>
  </si>
  <si>
    <t>鈴木 一郎</t>
  </si>
  <si>
    <t>池袋</t>
  </si>
  <si>
    <t>高橋 美咲</t>
  </si>
  <si>
    <t>上野</t>
  </si>
  <si>
    <t>伊藤 健</t>
  </si>
  <si>
    <t>品川</t>
  </si>
  <si>
    <t>渡辺 愛</t>
  </si>
  <si>
    <t>銀座</t>
  </si>
  <si>
    <t>小林 翔</t>
  </si>
  <si>
    <t>秋葉原</t>
  </si>
  <si>
    <t>加藤 彩</t>
  </si>
  <si>
    <t>日本橋</t>
  </si>
  <si>
    <t>吉田 光</t>
  </si>
  <si>
    <t>浅草</t>
  </si>
  <si>
    <t>松本 遥</t>
  </si>
  <si>
    <t>新橋</t>
  </si>
  <si>
    <t>林 真琴</t>
  </si>
  <si>
    <t>中村 大地</t>
  </si>
  <si>
    <t>清水 優</t>
  </si>
  <si>
    <t>森 拓海</t>
  </si>
  <si>
    <t>石井 愛</t>
  </si>
  <si>
    <t>井上 恒一</t>
  </si>
  <si>
    <t>阿部 翼</t>
  </si>
  <si>
    <t>西村 彩</t>
  </si>
  <si>
    <t>橋本 陽</t>
  </si>
  <si>
    <t>前田 涼</t>
  </si>
  <si>
    <t>配送先</t>
  </si>
  <si>
    <t>地域</t>
  </si>
  <si>
    <t>食材名</t>
  </si>
  <si>
    <t>新宿店</t>
  </si>
  <si>
    <t>東京都</t>
  </si>
  <si>
    <t>コーヒー豆</t>
  </si>
  <si>
    <t>渋谷店</t>
  </si>
  <si>
    <t>牛乳</t>
  </si>
  <si>
    <t>池袋店</t>
  </si>
  <si>
    <t>砂糖</t>
  </si>
  <si>
    <t>上野店</t>
  </si>
  <si>
    <t>小麦粉</t>
  </si>
  <si>
    <t>品川店</t>
  </si>
  <si>
    <t>ホイップ</t>
  </si>
  <si>
    <t>銀座店</t>
  </si>
  <si>
    <t>紙カップ</t>
  </si>
  <si>
    <t>秋葉原店</t>
  </si>
  <si>
    <t>日本橋店</t>
  </si>
  <si>
    <t>チョコ</t>
  </si>
  <si>
    <t>浅草店</t>
  </si>
  <si>
    <t>シロップ</t>
  </si>
  <si>
    <t>新橋店</t>
  </si>
  <si>
    <t>バター</t>
  </si>
  <si>
    <t>横浜店</t>
  </si>
  <si>
    <t>神奈川県</t>
  </si>
  <si>
    <t>大宮店</t>
  </si>
  <si>
    <t>埼玉県</t>
  </si>
  <si>
    <t>千葉店</t>
  </si>
  <si>
    <t>千葉県</t>
  </si>
  <si>
    <t>立川店</t>
  </si>
  <si>
    <t>町田店</t>
  </si>
  <si>
    <t>川崎店</t>
  </si>
  <si>
    <t>柏店</t>
  </si>
  <si>
    <t>浦和店</t>
  </si>
  <si>
    <t>吉祥寺店</t>
  </si>
  <si>
    <t>中野店</t>
  </si>
  <si>
    <t>スタッフ名簿</t>
    <rPh sb="4" eb="6">
      <t>メイボ</t>
    </rPh>
    <phoneticPr fontId="2"/>
  </si>
  <si>
    <t>店舗別食材配送一覧</t>
    <rPh sb="0" eb="2">
      <t>テンポ</t>
    </rPh>
    <rPh sb="2" eb="3">
      <t>ベツ</t>
    </rPh>
    <rPh sb="7" eb="9">
      <t>イチラン</t>
    </rPh>
    <phoneticPr fontId="2"/>
  </si>
  <si>
    <t>メニュー名</t>
  </si>
  <si>
    <t>ブレンドコーヒー</t>
  </si>
  <si>
    <t>ドリンク</t>
  </si>
  <si>
    <t>カフェラテ</t>
  </si>
  <si>
    <t>アイスコーヒー</t>
  </si>
  <si>
    <t>紅茶</t>
  </si>
  <si>
    <t>チーズケーキ</t>
  </si>
  <si>
    <t>スイーツ</t>
  </si>
  <si>
    <t>ショートケーキ</t>
  </si>
  <si>
    <t>モンブラン</t>
  </si>
  <si>
    <t>プリン</t>
  </si>
  <si>
    <t>ホットサンド</t>
  </si>
  <si>
    <t>軽食</t>
  </si>
  <si>
    <t>ピザトースト</t>
  </si>
  <si>
    <t>勤務日</t>
  </si>
  <si>
    <t>店舗名</t>
  </si>
  <si>
    <t>カフェ仕入表</t>
    <rPh sb="3" eb="5">
      <t>シイレ</t>
    </rPh>
    <rPh sb="5" eb="6">
      <t>ヒョウ</t>
    </rPh>
    <phoneticPr fontId="2"/>
  </si>
  <si>
    <t>シフト予定表</t>
    <rPh sb="3" eb="6">
      <t>ヨテイヒョウ</t>
    </rPh>
    <phoneticPr fontId="2"/>
  </si>
  <si>
    <t>売上ランキング</t>
    <rPh sb="0" eb="2">
      <t>ウリアゲ</t>
    </rPh>
    <phoneticPr fontId="2"/>
  </si>
  <si>
    <t>売上一覧表</t>
    <rPh sb="0" eb="2">
      <t>ウリアゲ</t>
    </rPh>
    <rPh sb="2" eb="4">
      <t>イチラン</t>
    </rPh>
    <rPh sb="4" eb="5">
      <t>ヒョウ</t>
    </rPh>
    <phoneticPr fontId="2"/>
  </si>
  <si>
    <t>クロワッサン</t>
  </si>
  <si>
    <t>パン</t>
  </si>
  <si>
    <t>ベーグル</t>
  </si>
  <si>
    <t>サンドイッチ</t>
  </si>
  <si>
    <t>マフィン</t>
  </si>
  <si>
    <t>カフェモカ</t>
  </si>
  <si>
    <t>抹茶ラテ</t>
  </si>
  <si>
    <t>ホットミルク</t>
  </si>
  <si>
    <t>アップルパイ</t>
  </si>
  <si>
    <t>チョコケーキ</t>
  </si>
  <si>
    <t>ミックスサンド</t>
  </si>
  <si>
    <t>メニュー在庫一覧</t>
    <rPh sb="4" eb="6">
      <t>ザイコ</t>
    </rPh>
    <rPh sb="6" eb="8">
      <t>イチラン</t>
    </rPh>
    <phoneticPr fontId="2"/>
  </si>
  <si>
    <t>確認</t>
    <rPh sb="0" eb="2">
      <t>カクニン</t>
    </rPh>
    <phoneticPr fontId="2"/>
  </si>
  <si>
    <t>金額</t>
    <rPh sb="0" eb="2">
      <t>キンガク</t>
    </rPh>
    <phoneticPr fontId="2"/>
  </si>
  <si>
    <t>消費税率</t>
    <phoneticPr fontId="2"/>
  </si>
  <si>
    <t>消費税</t>
    <rPh sb="0" eb="3">
      <t>ショウヒゼイ</t>
    </rPh>
    <phoneticPr fontId="2"/>
  </si>
  <si>
    <t>税込み価格</t>
    <rPh sb="0" eb="2">
      <t>ゼイコ</t>
    </rPh>
    <rPh sb="3" eb="5">
      <t>カカク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</si>
</sst>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sz val="12"/>
      <color theme="1"/>
      <name val="游ゴシック"/>
      <family val="2"/>
      <scheme val="minor"/>
    </font>
    <font>
      <b/>
      <sz val="12"/>
      <color theme="0"/>
      <name val="游ゴシック"/>
      <family val="2"/>
      <scheme val="minor"/>
    </font>
    <font>
      <b/>
      <sz val="12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1"/>
      <name val="游ゴシック"/>
      <family val="2"/>
      <scheme val="minor"/>
    </font>
    <font>
      <b/>
      <sz val="18"/>
      <color theme="6" tint="-0.499984740745262"/>
      <name val="HGP創英角ｺﾞｼｯｸUB"/>
      <family val="3"/>
      <charset val="128"/>
    </font>
    <font>
      <sz val="11"/>
      <color theme="6" tint="-0.499984740745262"/>
      <name val="游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theme="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/>
      <right/>
      <top style="thick">
        <color theme="6"/>
      </top>
      <bottom style="thick">
        <color theme="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double">
        <color theme="6" tint="-0.49998474074526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56" fontId="0" fillId="0" borderId="10" xfId="0" applyNumberForma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38" fontId="0" fillId="0" borderId="0" xfId="1" applyFont="1" applyAlignment="1">
      <alignment horizontal="right" vertical="center" wrapText="1"/>
    </xf>
    <xf numFmtId="0" fontId="13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4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9" fontId="0" fillId="0" borderId="14" xfId="0" applyNumberFormat="1" applyBorder="1" applyAlignment="1">
      <alignment vertical="center"/>
    </xf>
    <xf numFmtId="0" fontId="6" fillId="5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38" fontId="0" fillId="0" borderId="0" xfId="1" applyFont="1" applyAlignment="1">
      <alignment vertical="center"/>
    </xf>
    <xf numFmtId="38" fontId="0" fillId="0" borderId="10" xfId="1" applyFont="1" applyBorder="1" applyAlignment="1">
      <alignment vertical="center"/>
    </xf>
    <xf numFmtId="38" fontId="0" fillId="0" borderId="5" xfId="1" applyFont="1" applyBorder="1" applyAlignment="1">
      <alignment vertical="center"/>
    </xf>
    <xf numFmtId="38" fontId="0" fillId="0" borderId="6" xfId="1" applyFont="1" applyBorder="1" applyAlignment="1">
      <alignment vertical="center"/>
    </xf>
    <xf numFmtId="38" fontId="0" fillId="0" borderId="2" xfId="1" applyFont="1" applyBorder="1" applyAlignment="1">
      <alignment vertical="center"/>
    </xf>
    <xf numFmtId="38" fontId="0" fillId="0" borderId="3" xfId="1" applyFont="1" applyBorder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8" fillId="8" borderId="10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DFFAD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スタッフ名簿!$E$3</c:f>
              <c:strCache>
                <c:ptCount val="1"/>
                <c:pt idx="0">
                  <c:v>試験点数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スタッフ名簿!$C$4:$C$23</c:f>
              <c:strCache>
                <c:ptCount val="20"/>
                <c:pt idx="0">
                  <c:v>山田 太郎</c:v>
                </c:pt>
                <c:pt idx="1">
                  <c:v>佐藤 花子</c:v>
                </c:pt>
                <c:pt idx="2">
                  <c:v>鈴木 一郎</c:v>
                </c:pt>
                <c:pt idx="3">
                  <c:v>高橋 美咲</c:v>
                </c:pt>
                <c:pt idx="4">
                  <c:v>伊藤 健</c:v>
                </c:pt>
                <c:pt idx="5">
                  <c:v>渡辺 愛</c:v>
                </c:pt>
                <c:pt idx="6">
                  <c:v>小林 翔</c:v>
                </c:pt>
                <c:pt idx="7">
                  <c:v>加藤 彩</c:v>
                </c:pt>
                <c:pt idx="8">
                  <c:v>吉田 光</c:v>
                </c:pt>
                <c:pt idx="9">
                  <c:v>松本 遥</c:v>
                </c:pt>
                <c:pt idx="10">
                  <c:v>林 真琴</c:v>
                </c:pt>
                <c:pt idx="11">
                  <c:v>中村 大地</c:v>
                </c:pt>
                <c:pt idx="12">
                  <c:v>清水 優</c:v>
                </c:pt>
                <c:pt idx="13">
                  <c:v>森 拓海</c:v>
                </c:pt>
                <c:pt idx="14">
                  <c:v>石井 愛</c:v>
                </c:pt>
                <c:pt idx="15">
                  <c:v>井上 恒一</c:v>
                </c:pt>
                <c:pt idx="16">
                  <c:v>阿部 翼</c:v>
                </c:pt>
                <c:pt idx="17">
                  <c:v>西村 彩</c:v>
                </c:pt>
                <c:pt idx="18">
                  <c:v>橋本 陽</c:v>
                </c:pt>
                <c:pt idx="19">
                  <c:v>前田 涼</c:v>
                </c:pt>
              </c:strCache>
            </c:strRef>
          </c:cat>
          <c:val>
            <c:numRef>
              <c:f>スタッフ名簿!$E$4:$E$23</c:f>
              <c:numCache>
                <c:formatCode>General</c:formatCode>
                <c:ptCount val="20"/>
                <c:pt idx="0">
                  <c:v>92</c:v>
                </c:pt>
                <c:pt idx="1">
                  <c:v>78</c:v>
                </c:pt>
                <c:pt idx="2">
                  <c:v>84</c:v>
                </c:pt>
                <c:pt idx="3">
                  <c:v>69</c:v>
                </c:pt>
                <c:pt idx="4">
                  <c:v>88</c:v>
                </c:pt>
                <c:pt idx="5">
                  <c:v>73</c:v>
                </c:pt>
                <c:pt idx="6">
                  <c:v>95</c:v>
                </c:pt>
                <c:pt idx="7">
                  <c:v>81</c:v>
                </c:pt>
                <c:pt idx="8">
                  <c:v>77</c:v>
                </c:pt>
                <c:pt idx="9">
                  <c:v>83</c:v>
                </c:pt>
                <c:pt idx="10">
                  <c:v>62</c:v>
                </c:pt>
                <c:pt idx="11">
                  <c:v>91</c:v>
                </c:pt>
                <c:pt idx="12">
                  <c:v>86</c:v>
                </c:pt>
                <c:pt idx="13">
                  <c:v>79</c:v>
                </c:pt>
                <c:pt idx="14">
                  <c:v>98</c:v>
                </c:pt>
                <c:pt idx="15">
                  <c:v>74</c:v>
                </c:pt>
                <c:pt idx="16">
                  <c:v>87</c:v>
                </c:pt>
                <c:pt idx="17">
                  <c:v>66</c:v>
                </c:pt>
                <c:pt idx="18">
                  <c:v>80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5-4B20-A8FA-F35274C5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74109183"/>
        <c:axId val="974115903"/>
      </c:barChart>
      <c:catAx>
        <c:axId val="9741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15903"/>
        <c:crosses val="autoZero"/>
        <c:auto val="1"/>
        <c:lblAlgn val="ctr"/>
        <c:lblOffset val="100"/>
        <c:noMultiLvlLbl val="0"/>
      </c:catAx>
      <c:valAx>
        <c:axId val="97411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0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671512</xdr:colOff>
      <xdr:row>2</xdr:row>
      <xdr:rowOff>219075</xdr:rowOff>
    </xdr:from>
    <xdr:to>
      <xdr:col>17</xdr:col>
      <xdr:colOff>609600</xdr:colOff>
      <xdr:row>14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774508A-9CF9-F75E-9329-D81ABE2E0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飛行機雲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飛行機雲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3"/>
  <sheetViews>
    <sheetView tabSelected="1" workbookViewId="0"/>
  </sheetViews>
  <sheetFormatPr defaultRowHeight="18.75" x14ac:dyDescent="0.4"/>
  <cols>
    <col min="1" max="1" width="3.625" style="4" customWidth="1"/>
    <col min="2" max="2" width="7.5" style="4" customWidth="1"/>
    <col min="3" max="7" width="12" style="4" customWidth="1"/>
    <col min="8" max="16384" width="9" style="4"/>
  </cols>
  <sheetData>
    <row r="1" spans="2:7" ht="27.95" customHeight="1" thickBot="1" x14ac:dyDescent="0.45">
      <c r="B1" s="25" t="s">
        <v>81</v>
      </c>
      <c r="C1" s="26"/>
      <c r="D1" s="26"/>
      <c r="E1" s="26"/>
      <c r="F1" s="26"/>
      <c r="G1" s="26"/>
    </row>
    <row r="2" spans="2:7" ht="19.5" thickTop="1" x14ac:dyDescent="0.4"/>
    <row r="3" spans="2:7" s="5" customFormat="1" x14ac:dyDescent="0.4">
      <c r="B3" s="22" t="s">
        <v>0</v>
      </c>
      <c r="C3" s="23" t="s">
        <v>1</v>
      </c>
      <c r="D3" s="23" t="s">
        <v>14</v>
      </c>
      <c r="E3" s="23" t="s">
        <v>2</v>
      </c>
      <c r="F3" s="23" t="s">
        <v>3</v>
      </c>
      <c r="G3" s="23" t="s">
        <v>4</v>
      </c>
    </row>
    <row r="4" spans="2:7" x14ac:dyDescent="0.4">
      <c r="B4" s="24">
        <v>1</v>
      </c>
      <c r="C4" s="24" t="s">
        <v>15</v>
      </c>
      <c r="D4" s="24" t="s">
        <v>16</v>
      </c>
      <c r="E4" s="24">
        <v>92</v>
      </c>
      <c r="F4" s="24"/>
      <c r="G4" s="24"/>
    </row>
    <row r="5" spans="2:7" x14ac:dyDescent="0.4">
      <c r="B5" s="24">
        <v>2</v>
      </c>
      <c r="C5" s="24" t="s">
        <v>17</v>
      </c>
      <c r="D5" s="24" t="s">
        <v>18</v>
      </c>
      <c r="E5" s="24">
        <v>78</v>
      </c>
      <c r="F5" s="24"/>
      <c r="G5" s="24"/>
    </row>
    <row r="6" spans="2:7" x14ac:dyDescent="0.4">
      <c r="B6" s="24">
        <v>3</v>
      </c>
      <c r="C6" s="24" t="s">
        <v>19</v>
      </c>
      <c r="D6" s="24" t="s">
        <v>20</v>
      </c>
      <c r="E6" s="24">
        <v>84</v>
      </c>
      <c r="F6" s="24"/>
      <c r="G6" s="24"/>
    </row>
    <row r="7" spans="2:7" x14ac:dyDescent="0.4">
      <c r="B7" s="24">
        <v>4</v>
      </c>
      <c r="C7" s="24" t="s">
        <v>21</v>
      </c>
      <c r="D7" s="24" t="s">
        <v>22</v>
      </c>
      <c r="E7" s="24">
        <v>69</v>
      </c>
      <c r="F7" s="24"/>
      <c r="G7" s="24"/>
    </row>
    <row r="8" spans="2:7" x14ac:dyDescent="0.4">
      <c r="B8" s="24">
        <v>5</v>
      </c>
      <c r="C8" s="24" t="s">
        <v>23</v>
      </c>
      <c r="D8" s="24" t="s">
        <v>24</v>
      </c>
      <c r="E8" s="24">
        <v>88</v>
      </c>
      <c r="F8" s="24"/>
      <c r="G8" s="24"/>
    </row>
    <row r="9" spans="2:7" x14ac:dyDescent="0.4">
      <c r="B9" s="24">
        <v>6</v>
      </c>
      <c r="C9" s="24" t="s">
        <v>25</v>
      </c>
      <c r="D9" s="24" t="s">
        <v>26</v>
      </c>
      <c r="E9" s="24">
        <v>73</v>
      </c>
      <c r="F9" s="24"/>
      <c r="G9" s="24"/>
    </row>
    <row r="10" spans="2:7" x14ac:dyDescent="0.4">
      <c r="B10" s="24">
        <v>7</v>
      </c>
      <c r="C10" s="24" t="s">
        <v>27</v>
      </c>
      <c r="D10" s="24" t="s">
        <v>28</v>
      </c>
      <c r="E10" s="24">
        <v>95</v>
      </c>
      <c r="F10" s="24"/>
      <c r="G10" s="24"/>
    </row>
    <row r="11" spans="2:7" x14ac:dyDescent="0.4">
      <c r="B11" s="24">
        <v>8</v>
      </c>
      <c r="C11" s="24" t="s">
        <v>29</v>
      </c>
      <c r="D11" s="24" t="s">
        <v>30</v>
      </c>
      <c r="E11" s="24">
        <v>81</v>
      </c>
      <c r="F11" s="24"/>
      <c r="G11" s="24"/>
    </row>
    <row r="12" spans="2:7" x14ac:dyDescent="0.4">
      <c r="B12" s="24">
        <v>9</v>
      </c>
      <c r="C12" s="24" t="s">
        <v>31</v>
      </c>
      <c r="D12" s="24" t="s">
        <v>32</v>
      </c>
      <c r="E12" s="24">
        <v>77</v>
      </c>
      <c r="F12" s="24"/>
      <c r="G12" s="24"/>
    </row>
    <row r="13" spans="2:7" x14ac:dyDescent="0.4">
      <c r="B13" s="24">
        <v>10</v>
      </c>
      <c r="C13" s="24" t="s">
        <v>33</v>
      </c>
      <c r="D13" s="24" t="s">
        <v>34</v>
      </c>
      <c r="E13" s="24">
        <v>83</v>
      </c>
      <c r="F13" s="24"/>
      <c r="G13" s="24"/>
    </row>
    <row r="14" spans="2:7" x14ac:dyDescent="0.4">
      <c r="B14" s="24">
        <v>11</v>
      </c>
      <c r="C14" s="24" t="s">
        <v>35</v>
      </c>
      <c r="D14" s="24" t="s">
        <v>16</v>
      </c>
      <c r="E14" s="24">
        <v>62</v>
      </c>
      <c r="F14" s="24"/>
      <c r="G14" s="24"/>
    </row>
    <row r="15" spans="2:7" x14ac:dyDescent="0.4">
      <c r="B15" s="24">
        <v>12</v>
      </c>
      <c r="C15" s="24" t="s">
        <v>36</v>
      </c>
      <c r="D15" s="24" t="s">
        <v>18</v>
      </c>
      <c r="E15" s="24">
        <v>91</v>
      </c>
      <c r="F15" s="24"/>
      <c r="G15" s="24"/>
    </row>
    <row r="16" spans="2:7" x14ac:dyDescent="0.4">
      <c r="B16" s="24">
        <v>13</v>
      </c>
      <c r="C16" s="24" t="s">
        <v>37</v>
      </c>
      <c r="D16" s="24" t="s">
        <v>20</v>
      </c>
      <c r="E16" s="24">
        <v>86</v>
      </c>
      <c r="F16" s="24"/>
      <c r="G16" s="24"/>
    </row>
    <row r="17" spans="2:7" x14ac:dyDescent="0.4">
      <c r="B17" s="24">
        <v>14</v>
      </c>
      <c r="C17" s="24" t="s">
        <v>38</v>
      </c>
      <c r="D17" s="24" t="s">
        <v>22</v>
      </c>
      <c r="E17" s="24">
        <v>79</v>
      </c>
      <c r="F17" s="24"/>
      <c r="G17" s="24"/>
    </row>
    <row r="18" spans="2:7" x14ac:dyDescent="0.4">
      <c r="B18" s="24">
        <v>15</v>
      </c>
      <c r="C18" s="24" t="s">
        <v>39</v>
      </c>
      <c r="D18" s="24" t="s">
        <v>24</v>
      </c>
      <c r="E18" s="24">
        <v>98</v>
      </c>
      <c r="F18" s="24"/>
      <c r="G18" s="24"/>
    </row>
    <row r="19" spans="2:7" x14ac:dyDescent="0.4">
      <c r="B19" s="24">
        <v>16</v>
      </c>
      <c r="C19" s="24" t="s">
        <v>40</v>
      </c>
      <c r="D19" s="24" t="s">
        <v>26</v>
      </c>
      <c r="E19" s="24">
        <v>74</v>
      </c>
      <c r="F19" s="24"/>
      <c r="G19" s="24"/>
    </row>
    <row r="20" spans="2:7" x14ac:dyDescent="0.4">
      <c r="B20" s="24">
        <v>17</v>
      </c>
      <c r="C20" s="24" t="s">
        <v>41</v>
      </c>
      <c r="D20" s="24" t="s">
        <v>28</v>
      </c>
      <c r="E20" s="24">
        <v>87</v>
      </c>
      <c r="F20" s="24"/>
      <c r="G20" s="24"/>
    </row>
    <row r="21" spans="2:7" x14ac:dyDescent="0.4">
      <c r="B21" s="24">
        <v>18</v>
      </c>
      <c r="C21" s="24" t="s">
        <v>42</v>
      </c>
      <c r="D21" s="24" t="s">
        <v>30</v>
      </c>
      <c r="E21" s="24">
        <v>66</v>
      </c>
      <c r="F21" s="24"/>
      <c r="G21" s="24"/>
    </row>
    <row r="22" spans="2:7" x14ac:dyDescent="0.4">
      <c r="B22" s="24">
        <v>19</v>
      </c>
      <c r="C22" s="24" t="s">
        <v>43</v>
      </c>
      <c r="D22" s="24" t="s">
        <v>32</v>
      </c>
      <c r="E22" s="24">
        <v>80</v>
      </c>
      <c r="F22" s="24"/>
      <c r="G22" s="24"/>
    </row>
    <row r="23" spans="2:7" x14ac:dyDescent="0.4">
      <c r="B23" s="24">
        <v>20</v>
      </c>
      <c r="C23" s="24" t="s">
        <v>44</v>
      </c>
      <c r="D23" s="24" t="s">
        <v>34</v>
      </c>
      <c r="E23" s="24">
        <v>94</v>
      </c>
      <c r="F23" s="24"/>
      <c r="G23" s="24"/>
    </row>
  </sheetData>
  <phoneticPr fontId="2"/>
  <pageMargins left="0.25" right="0.25" top="0.5" bottom="0.5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3"/>
  <sheetViews>
    <sheetView workbookViewId="0"/>
  </sheetViews>
  <sheetFormatPr defaultRowHeight="18.75" x14ac:dyDescent="0.4"/>
  <cols>
    <col min="1" max="1" width="2.75" style="4" customWidth="1"/>
    <col min="2" max="2" width="9" style="4"/>
    <col min="3" max="6" width="14.875" style="4" customWidth="1"/>
    <col min="7" max="7" width="15.75" style="4" customWidth="1"/>
    <col min="8" max="16384" width="9" style="4"/>
  </cols>
  <sheetData>
    <row r="1" spans="2:7" ht="41.25" customHeight="1" thickTop="1" thickBot="1" x14ac:dyDescent="0.45">
      <c r="B1" s="43" t="s">
        <v>82</v>
      </c>
      <c r="C1" s="43"/>
      <c r="D1" s="43"/>
      <c r="E1" s="43"/>
      <c r="F1" s="43"/>
      <c r="G1" s="43"/>
    </row>
    <row r="2" spans="2:7" customFormat="1" ht="19.5" thickTop="1" x14ac:dyDescent="0.4"/>
    <row r="3" spans="2:7" s="13" customFormat="1" ht="19.5" x14ac:dyDescent="0.4">
      <c r="B3" s="28" t="s">
        <v>0</v>
      </c>
      <c r="C3" s="29" t="s">
        <v>45</v>
      </c>
      <c r="D3" s="29" t="s">
        <v>46</v>
      </c>
      <c r="E3" s="29" t="s">
        <v>47</v>
      </c>
      <c r="F3" s="29" t="s">
        <v>5</v>
      </c>
      <c r="G3" s="30" t="s">
        <v>6</v>
      </c>
    </row>
    <row r="4" spans="2:7" x14ac:dyDescent="0.4">
      <c r="B4" s="9">
        <v>1</v>
      </c>
      <c r="C4" s="10" t="s">
        <v>48</v>
      </c>
      <c r="D4" s="10" t="s">
        <v>49</v>
      </c>
      <c r="E4" s="10" t="s">
        <v>50</v>
      </c>
      <c r="F4" s="33">
        <v>320</v>
      </c>
      <c r="G4" s="34"/>
    </row>
    <row r="5" spans="2:7" x14ac:dyDescent="0.4">
      <c r="B5" s="9">
        <v>2</v>
      </c>
      <c r="C5" s="10" t="s">
        <v>51</v>
      </c>
      <c r="D5" s="10" t="s">
        <v>49</v>
      </c>
      <c r="E5" s="10" t="s">
        <v>52</v>
      </c>
      <c r="F5" s="33">
        <v>680</v>
      </c>
      <c r="G5" s="34"/>
    </row>
    <row r="6" spans="2:7" x14ac:dyDescent="0.4">
      <c r="B6" s="9">
        <v>3</v>
      </c>
      <c r="C6" s="10" t="s">
        <v>53</v>
      </c>
      <c r="D6" s="10" t="s">
        <v>49</v>
      </c>
      <c r="E6" s="10" t="s">
        <v>54</v>
      </c>
      <c r="F6" s="33">
        <v>520</v>
      </c>
      <c r="G6" s="34"/>
    </row>
    <row r="7" spans="2:7" x14ac:dyDescent="0.4">
      <c r="B7" s="9">
        <v>4</v>
      </c>
      <c r="C7" s="10" t="s">
        <v>55</v>
      </c>
      <c r="D7" s="10" t="s">
        <v>49</v>
      </c>
      <c r="E7" s="10" t="s">
        <v>56</v>
      </c>
      <c r="F7" s="33">
        <v>430</v>
      </c>
      <c r="G7" s="34"/>
    </row>
    <row r="8" spans="2:7" x14ac:dyDescent="0.4">
      <c r="B8" s="9">
        <v>5</v>
      </c>
      <c r="C8" s="10" t="s">
        <v>57</v>
      </c>
      <c r="D8" s="10" t="s">
        <v>49</v>
      </c>
      <c r="E8" s="10" t="s">
        <v>58</v>
      </c>
      <c r="F8" s="33">
        <v>760</v>
      </c>
      <c r="G8" s="34"/>
    </row>
    <row r="9" spans="2:7" x14ac:dyDescent="0.4">
      <c r="B9" s="9">
        <v>6</v>
      </c>
      <c r="C9" s="10" t="s">
        <v>59</v>
      </c>
      <c r="D9" s="10" t="s">
        <v>49</v>
      </c>
      <c r="E9" s="10" t="s">
        <v>60</v>
      </c>
      <c r="F9" s="33">
        <v>280</v>
      </c>
      <c r="G9" s="34"/>
    </row>
    <row r="10" spans="2:7" x14ac:dyDescent="0.4">
      <c r="B10" s="9">
        <v>7</v>
      </c>
      <c r="C10" s="10" t="s">
        <v>61</v>
      </c>
      <c r="D10" s="10" t="s">
        <v>49</v>
      </c>
      <c r="E10" s="10" t="s">
        <v>11</v>
      </c>
      <c r="F10" s="33">
        <v>550</v>
      </c>
      <c r="G10" s="34"/>
    </row>
    <row r="11" spans="2:7" x14ac:dyDescent="0.4">
      <c r="B11" s="9">
        <v>8</v>
      </c>
      <c r="C11" s="10" t="s">
        <v>62</v>
      </c>
      <c r="D11" s="10" t="s">
        <v>49</v>
      </c>
      <c r="E11" s="10" t="s">
        <v>63</v>
      </c>
      <c r="F11" s="33">
        <v>470</v>
      </c>
      <c r="G11" s="34"/>
    </row>
    <row r="12" spans="2:7" x14ac:dyDescent="0.4">
      <c r="B12" s="9">
        <v>9</v>
      </c>
      <c r="C12" s="10" t="s">
        <v>64</v>
      </c>
      <c r="D12" s="10" t="s">
        <v>49</v>
      </c>
      <c r="E12" s="10" t="s">
        <v>65</v>
      </c>
      <c r="F12" s="33">
        <v>830</v>
      </c>
      <c r="G12" s="34"/>
    </row>
    <row r="13" spans="2:7" x14ac:dyDescent="0.4">
      <c r="B13" s="9">
        <v>10</v>
      </c>
      <c r="C13" s="10" t="s">
        <v>66</v>
      </c>
      <c r="D13" s="10" t="s">
        <v>49</v>
      </c>
      <c r="E13" s="10" t="s">
        <v>67</v>
      </c>
      <c r="F13" s="33">
        <v>390</v>
      </c>
      <c r="G13" s="34"/>
    </row>
    <row r="14" spans="2:7" x14ac:dyDescent="0.4">
      <c r="B14" s="9">
        <v>11</v>
      </c>
      <c r="C14" s="10" t="s">
        <v>68</v>
      </c>
      <c r="D14" s="10" t="s">
        <v>69</v>
      </c>
      <c r="E14" s="10" t="s">
        <v>50</v>
      </c>
      <c r="F14" s="33">
        <v>610</v>
      </c>
      <c r="G14" s="34"/>
    </row>
    <row r="15" spans="2:7" x14ac:dyDescent="0.4">
      <c r="B15" s="9">
        <v>12</v>
      </c>
      <c r="C15" s="10" t="s">
        <v>70</v>
      </c>
      <c r="D15" s="10" t="s">
        <v>71</v>
      </c>
      <c r="E15" s="10" t="s">
        <v>52</v>
      </c>
      <c r="F15" s="33">
        <v>455</v>
      </c>
      <c r="G15" s="34"/>
    </row>
    <row r="16" spans="2:7" x14ac:dyDescent="0.4">
      <c r="B16" s="9">
        <v>13</v>
      </c>
      <c r="C16" s="10" t="s">
        <v>72</v>
      </c>
      <c r="D16" s="10" t="s">
        <v>73</v>
      </c>
      <c r="E16" s="10" t="s">
        <v>54</v>
      </c>
      <c r="F16" s="33">
        <v>720</v>
      </c>
      <c r="G16" s="34"/>
    </row>
    <row r="17" spans="2:7" x14ac:dyDescent="0.4">
      <c r="B17" s="9">
        <v>14</v>
      </c>
      <c r="C17" s="10" t="s">
        <v>74</v>
      </c>
      <c r="D17" s="10" t="s">
        <v>49</v>
      </c>
      <c r="E17" s="10" t="s">
        <v>56</v>
      </c>
      <c r="F17" s="33">
        <v>380</v>
      </c>
      <c r="G17" s="34"/>
    </row>
    <row r="18" spans="2:7" x14ac:dyDescent="0.4">
      <c r="B18" s="9">
        <v>15</v>
      </c>
      <c r="C18" s="10" t="s">
        <v>75</v>
      </c>
      <c r="D18" s="10" t="s">
        <v>49</v>
      </c>
      <c r="E18" s="10" t="s">
        <v>58</v>
      </c>
      <c r="F18" s="33">
        <v>505</v>
      </c>
      <c r="G18" s="34"/>
    </row>
    <row r="19" spans="2:7" x14ac:dyDescent="0.4">
      <c r="B19" s="9">
        <v>16</v>
      </c>
      <c r="C19" s="10" t="s">
        <v>76</v>
      </c>
      <c r="D19" s="10" t="s">
        <v>69</v>
      </c>
      <c r="E19" s="10" t="s">
        <v>60</v>
      </c>
      <c r="F19" s="33">
        <v>265</v>
      </c>
      <c r="G19" s="34"/>
    </row>
    <row r="20" spans="2:7" x14ac:dyDescent="0.4">
      <c r="B20" s="9">
        <v>17</v>
      </c>
      <c r="C20" s="10" t="s">
        <v>77</v>
      </c>
      <c r="D20" s="10" t="s">
        <v>73</v>
      </c>
      <c r="E20" s="10" t="s">
        <v>11</v>
      </c>
      <c r="F20" s="33">
        <v>590</v>
      </c>
      <c r="G20" s="34"/>
    </row>
    <row r="21" spans="2:7" x14ac:dyDescent="0.4">
      <c r="B21" s="9">
        <v>18</v>
      </c>
      <c r="C21" s="10" t="s">
        <v>78</v>
      </c>
      <c r="D21" s="10" t="s">
        <v>71</v>
      </c>
      <c r="E21" s="10" t="s">
        <v>63</v>
      </c>
      <c r="F21" s="33">
        <v>845</v>
      </c>
      <c r="G21" s="34"/>
    </row>
    <row r="22" spans="2:7" x14ac:dyDescent="0.4">
      <c r="B22" s="9">
        <v>19</v>
      </c>
      <c r="C22" s="10" t="s">
        <v>79</v>
      </c>
      <c r="D22" s="10" t="s">
        <v>49</v>
      </c>
      <c r="E22" s="10" t="s">
        <v>65</v>
      </c>
      <c r="F22" s="33">
        <v>415</v>
      </c>
      <c r="G22" s="34"/>
    </row>
    <row r="23" spans="2:7" x14ac:dyDescent="0.4">
      <c r="B23" s="9">
        <v>20</v>
      </c>
      <c r="C23" s="10" t="s">
        <v>80</v>
      </c>
      <c r="D23" s="10" t="s">
        <v>49</v>
      </c>
      <c r="E23" s="10" t="s">
        <v>67</v>
      </c>
      <c r="F23" s="33">
        <v>530</v>
      </c>
      <c r="G23" s="34"/>
    </row>
    <row r="24" spans="2:7" x14ac:dyDescent="0.4">
      <c r="B24" s="9">
        <v>21</v>
      </c>
      <c r="C24" s="10" t="s">
        <v>48</v>
      </c>
      <c r="D24" s="10" t="s">
        <v>49</v>
      </c>
      <c r="E24" s="10" t="s">
        <v>50</v>
      </c>
      <c r="F24" s="33">
        <v>295</v>
      </c>
      <c r="G24" s="34"/>
    </row>
    <row r="25" spans="2:7" x14ac:dyDescent="0.4">
      <c r="B25" s="9">
        <v>22</v>
      </c>
      <c r="C25" s="10" t="s">
        <v>51</v>
      </c>
      <c r="D25" s="10" t="s">
        <v>49</v>
      </c>
      <c r="E25" s="10" t="s">
        <v>52</v>
      </c>
      <c r="F25" s="33">
        <v>675</v>
      </c>
      <c r="G25" s="34"/>
    </row>
    <row r="26" spans="2:7" x14ac:dyDescent="0.4">
      <c r="B26" s="9">
        <v>23</v>
      </c>
      <c r="C26" s="10" t="s">
        <v>53</v>
      </c>
      <c r="D26" s="10" t="s">
        <v>49</v>
      </c>
      <c r="E26" s="10" t="s">
        <v>54</v>
      </c>
      <c r="F26" s="33">
        <v>490</v>
      </c>
      <c r="G26" s="34"/>
    </row>
    <row r="27" spans="2:7" x14ac:dyDescent="0.4">
      <c r="B27" s="9">
        <v>24</v>
      </c>
      <c r="C27" s="10" t="s">
        <v>55</v>
      </c>
      <c r="D27" s="10" t="s">
        <v>49</v>
      </c>
      <c r="E27" s="10" t="s">
        <v>56</v>
      </c>
      <c r="F27" s="33">
        <v>510</v>
      </c>
      <c r="G27" s="34"/>
    </row>
    <row r="28" spans="2:7" x14ac:dyDescent="0.4">
      <c r="B28" s="9">
        <v>25</v>
      </c>
      <c r="C28" s="10" t="s">
        <v>57</v>
      </c>
      <c r="D28" s="10" t="s">
        <v>49</v>
      </c>
      <c r="E28" s="10" t="s">
        <v>58</v>
      </c>
      <c r="F28" s="33">
        <v>760</v>
      </c>
      <c r="G28" s="34"/>
    </row>
    <row r="29" spans="2:7" x14ac:dyDescent="0.4">
      <c r="B29" s="9">
        <v>26</v>
      </c>
      <c r="C29" s="10" t="s">
        <v>59</v>
      </c>
      <c r="D29" s="10" t="s">
        <v>49</v>
      </c>
      <c r="E29" s="10" t="s">
        <v>60</v>
      </c>
      <c r="F29" s="33">
        <v>340</v>
      </c>
      <c r="G29" s="34"/>
    </row>
    <row r="30" spans="2:7" x14ac:dyDescent="0.4">
      <c r="B30" s="9">
        <v>27</v>
      </c>
      <c r="C30" s="10" t="s">
        <v>61</v>
      </c>
      <c r="D30" s="10" t="s">
        <v>49</v>
      </c>
      <c r="E30" s="10" t="s">
        <v>11</v>
      </c>
      <c r="F30" s="33">
        <v>585</v>
      </c>
      <c r="G30" s="34"/>
    </row>
    <row r="31" spans="2:7" x14ac:dyDescent="0.4">
      <c r="B31" s="9">
        <v>28</v>
      </c>
      <c r="C31" s="10" t="s">
        <v>62</v>
      </c>
      <c r="D31" s="10" t="s">
        <v>49</v>
      </c>
      <c r="E31" s="10" t="s">
        <v>63</v>
      </c>
      <c r="F31" s="33">
        <v>425</v>
      </c>
      <c r="G31" s="34"/>
    </row>
    <row r="32" spans="2:7" x14ac:dyDescent="0.4">
      <c r="B32" s="9">
        <v>29</v>
      </c>
      <c r="C32" s="10" t="s">
        <v>64</v>
      </c>
      <c r="D32" s="10" t="s">
        <v>49</v>
      </c>
      <c r="E32" s="10" t="s">
        <v>65</v>
      </c>
      <c r="F32" s="33">
        <v>890</v>
      </c>
      <c r="G32" s="34"/>
    </row>
    <row r="33" spans="2:7" x14ac:dyDescent="0.4">
      <c r="B33" s="9">
        <v>30</v>
      </c>
      <c r="C33" s="10" t="s">
        <v>66</v>
      </c>
      <c r="D33" s="10" t="s">
        <v>49</v>
      </c>
      <c r="E33" s="10" t="s">
        <v>67</v>
      </c>
      <c r="F33" s="33">
        <v>455</v>
      </c>
      <c r="G33" s="34"/>
    </row>
    <row r="34" spans="2:7" x14ac:dyDescent="0.4">
      <c r="B34" s="9">
        <v>31</v>
      </c>
      <c r="C34" s="10" t="s">
        <v>68</v>
      </c>
      <c r="D34" s="10" t="s">
        <v>69</v>
      </c>
      <c r="E34" s="10" t="s">
        <v>50</v>
      </c>
      <c r="F34" s="33">
        <v>705</v>
      </c>
      <c r="G34" s="34"/>
    </row>
    <row r="35" spans="2:7" x14ac:dyDescent="0.4">
      <c r="B35" s="9">
        <v>32</v>
      </c>
      <c r="C35" s="10" t="s">
        <v>70</v>
      </c>
      <c r="D35" s="10" t="s">
        <v>71</v>
      </c>
      <c r="E35" s="10" t="s">
        <v>52</v>
      </c>
      <c r="F35" s="33">
        <v>360</v>
      </c>
      <c r="G35" s="34"/>
    </row>
    <row r="36" spans="2:7" x14ac:dyDescent="0.4">
      <c r="B36" s="9">
        <v>33</v>
      </c>
      <c r="C36" s="10" t="s">
        <v>72</v>
      </c>
      <c r="D36" s="10" t="s">
        <v>73</v>
      </c>
      <c r="E36" s="10" t="s">
        <v>54</v>
      </c>
      <c r="F36" s="33">
        <v>640</v>
      </c>
      <c r="G36" s="34"/>
    </row>
    <row r="37" spans="2:7" x14ac:dyDescent="0.4">
      <c r="B37" s="9">
        <v>34</v>
      </c>
      <c r="C37" s="10" t="s">
        <v>74</v>
      </c>
      <c r="D37" s="10" t="s">
        <v>49</v>
      </c>
      <c r="E37" s="10" t="s">
        <v>56</v>
      </c>
      <c r="F37" s="33">
        <v>275</v>
      </c>
      <c r="G37" s="34"/>
    </row>
    <row r="38" spans="2:7" x14ac:dyDescent="0.4">
      <c r="B38" s="9">
        <v>35</v>
      </c>
      <c r="C38" s="10" t="s">
        <v>75</v>
      </c>
      <c r="D38" s="10" t="s">
        <v>49</v>
      </c>
      <c r="E38" s="10" t="s">
        <v>58</v>
      </c>
      <c r="F38" s="33">
        <v>515</v>
      </c>
      <c r="G38" s="34"/>
    </row>
    <row r="39" spans="2:7" x14ac:dyDescent="0.4">
      <c r="B39" s="9">
        <v>36</v>
      </c>
      <c r="C39" s="10" t="s">
        <v>76</v>
      </c>
      <c r="D39" s="10" t="s">
        <v>69</v>
      </c>
      <c r="E39" s="10" t="s">
        <v>60</v>
      </c>
      <c r="F39" s="33">
        <v>800</v>
      </c>
      <c r="G39" s="34"/>
    </row>
    <row r="40" spans="2:7" x14ac:dyDescent="0.4">
      <c r="B40" s="9">
        <v>37</v>
      </c>
      <c r="C40" s="10" t="s">
        <v>77</v>
      </c>
      <c r="D40" s="10" t="s">
        <v>73</v>
      </c>
      <c r="E40" s="10" t="s">
        <v>11</v>
      </c>
      <c r="F40" s="33">
        <v>445</v>
      </c>
      <c r="G40" s="34"/>
    </row>
    <row r="41" spans="2:7" x14ac:dyDescent="0.4">
      <c r="B41" s="9">
        <v>38</v>
      </c>
      <c r="C41" s="10" t="s">
        <v>78</v>
      </c>
      <c r="D41" s="10" t="s">
        <v>71</v>
      </c>
      <c r="E41" s="10" t="s">
        <v>63</v>
      </c>
      <c r="F41" s="33">
        <v>570</v>
      </c>
      <c r="G41" s="34"/>
    </row>
    <row r="42" spans="2:7" x14ac:dyDescent="0.4">
      <c r="B42" s="9">
        <v>39</v>
      </c>
      <c r="C42" s="10" t="s">
        <v>79</v>
      </c>
      <c r="D42" s="10" t="s">
        <v>49</v>
      </c>
      <c r="E42" s="10" t="s">
        <v>65</v>
      </c>
      <c r="F42" s="33">
        <v>390</v>
      </c>
      <c r="G42" s="34"/>
    </row>
    <row r="43" spans="2:7" x14ac:dyDescent="0.4">
      <c r="B43" s="11">
        <v>40</v>
      </c>
      <c r="C43" s="12" t="s">
        <v>80</v>
      </c>
      <c r="D43" s="12" t="s">
        <v>49</v>
      </c>
      <c r="E43" s="12" t="s">
        <v>67</v>
      </c>
      <c r="F43" s="35">
        <v>655</v>
      </c>
      <c r="G43" s="36"/>
    </row>
  </sheetData>
  <mergeCells count="1">
    <mergeCell ref="B1:G1"/>
  </mergeCells>
  <phoneticPr fontId="2"/>
  <pageMargins left="0.25" right="0.25" top="0.5" bottom="0.5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/>
  </sheetViews>
  <sheetFormatPr defaultRowHeight="18.75" x14ac:dyDescent="0.4"/>
  <cols>
    <col min="1" max="1" width="9" style="4"/>
    <col min="2" max="2" width="19.5" style="4" customWidth="1"/>
    <col min="3" max="3" width="9" style="4"/>
    <col min="4" max="4" width="11" style="4" bestFit="1" customWidth="1"/>
    <col min="5" max="5" width="12.75" style="4" customWidth="1"/>
    <col min="6" max="7" width="9" style="4"/>
    <col min="8" max="8" width="11" style="4" customWidth="1"/>
    <col min="9" max="9" width="12.375" style="4" customWidth="1"/>
    <col min="10" max="10" width="12.5" style="4" customWidth="1"/>
    <col min="11" max="16384" width="9" style="4"/>
  </cols>
  <sheetData>
    <row r="1" spans="1:10" ht="24" x14ac:dyDescent="0.4">
      <c r="A1" s="39" t="s">
        <v>114</v>
      </c>
      <c r="B1" s="39"/>
      <c r="C1" s="39"/>
      <c r="D1" s="39"/>
      <c r="E1" s="39"/>
      <c r="F1" s="39"/>
      <c r="G1" s="39"/>
      <c r="H1" s="39"/>
      <c r="I1" s="40"/>
      <c r="J1" s="40"/>
    </row>
    <row r="2" spans="1:10" ht="19.5" thickBot="1" x14ac:dyDescent="0.45"/>
    <row r="3" spans="1:10" ht="27.95" customHeight="1" thickBot="1" x14ac:dyDescent="0.45">
      <c r="I3" s="42" t="s">
        <v>117</v>
      </c>
      <c r="J3" s="27">
        <v>0.08</v>
      </c>
    </row>
    <row r="4" spans="1:10" customFormat="1" x14ac:dyDescent="0.4"/>
    <row r="5" spans="1:10" ht="13.5" customHeight="1" x14ac:dyDescent="0.4"/>
    <row r="6" spans="1:10" s="5" customFormat="1" x14ac:dyDescent="0.4">
      <c r="A6" s="41" t="s">
        <v>0</v>
      </c>
      <c r="B6" s="41" t="s">
        <v>83</v>
      </c>
      <c r="C6" s="41" t="s">
        <v>10</v>
      </c>
      <c r="D6" s="41" t="s">
        <v>7</v>
      </c>
      <c r="E6" s="41" t="s">
        <v>115</v>
      </c>
      <c r="F6" s="41" t="s">
        <v>8</v>
      </c>
      <c r="G6" s="41" t="s">
        <v>9</v>
      </c>
      <c r="H6" s="41" t="s">
        <v>116</v>
      </c>
      <c r="I6" s="41" t="s">
        <v>118</v>
      </c>
      <c r="J6" s="41" t="s">
        <v>119</v>
      </c>
    </row>
    <row r="7" spans="1:10" x14ac:dyDescent="0.4">
      <c r="A7" s="14">
        <v>1</v>
      </c>
      <c r="B7" s="14" t="s">
        <v>84</v>
      </c>
      <c r="C7" s="14" t="s">
        <v>85</v>
      </c>
      <c r="D7" s="14">
        <v>3</v>
      </c>
      <c r="E7" s="14"/>
      <c r="F7" s="32">
        <v>420</v>
      </c>
      <c r="G7" s="32">
        <v>18</v>
      </c>
      <c r="H7" s="32">
        <f>F7*G7</f>
        <v>7560</v>
      </c>
      <c r="I7" s="32"/>
      <c r="J7" s="32">
        <f>SUM(H7:I7)</f>
        <v>7560</v>
      </c>
    </row>
    <row r="8" spans="1:10" x14ac:dyDescent="0.4">
      <c r="A8" s="14">
        <v>2</v>
      </c>
      <c r="B8" s="14" t="s">
        <v>86</v>
      </c>
      <c r="C8" s="14" t="s">
        <v>85</v>
      </c>
      <c r="D8" s="14">
        <v>9</v>
      </c>
      <c r="E8" s="14"/>
      <c r="F8" s="32">
        <v>480</v>
      </c>
      <c r="G8" s="32">
        <v>15</v>
      </c>
      <c r="H8" s="32">
        <f t="shared" ref="H8:H26" si="0">F8*G8</f>
        <v>7200</v>
      </c>
      <c r="I8" s="32"/>
      <c r="J8" s="32">
        <f t="shared" ref="J8:J26" si="1">SUM(H8:I8)</f>
        <v>7200</v>
      </c>
    </row>
    <row r="9" spans="1:10" x14ac:dyDescent="0.4">
      <c r="A9" s="14">
        <v>3</v>
      </c>
      <c r="B9" s="14" t="s">
        <v>87</v>
      </c>
      <c r="C9" s="14" t="s">
        <v>85</v>
      </c>
      <c r="D9" s="14">
        <v>6</v>
      </c>
      <c r="E9" s="14"/>
      <c r="F9" s="32">
        <v>430</v>
      </c>
      <c r="G9" s="32">
        <v>20</v>
      </c>
      <c r="H9" s="32">
        <f t="shared" si="0"/>
        <v>8600</v>
      </c>
      <c r="I9" s="32"/>
      <c r="J9" s="32">
        <f t="shared" si="1"/>
        <v>8600</v>
      </c>
    </row>
    <row r="10" spans="1:10" x14ac:dyDescent="0.4">
      <c r="A10" s="14">
        <v>4</v>
      </c>
      <c r="B10" s="14" t="s">
        <v>88</v>
      </c>
      <c r="C10" s="14" t="s">
        <v>85</v>
      </c>
      <c r="D10" s="14">
        <v>12</v>
      </c>
      <c r="E10" s="14"/>
      <c r="F10" s="32">
        <v>390</v>
      </c>
      <c r="G10" s="32">
        <v>14</v>
      </c>
      <c r="H10" s="32">
        <f t="shared" si="0"/>
        <v>5460</v>
      </c>
      <c r="I10" s="32"/>
      <c r="J10" s="32">
        <f t="shared" si="1"/>
        <v>5460</v>
      </c>
    </row>
    <row r="11" spans="1:10" x14ac:dyDescent="0.4">
      <c r="A11" s="14">
        <v>5</v>
      </c>
      <c r="B11" s="14" t="s">
        <v>89</v>
      </c>
      <c r="C11" s="14" t="s">
        <v>90</v>
      </c>
      <c r="D11" s="14">
        <v>4</v>
      </c>
      <c r="E11" s="14"/>
      <c r="F11" s="32">
        <v>520</v>
      </c>
      <c r="G11" s="32">
        <v>8</v>
      </c>
      <c r="H11" s="32">
        <f t="shared" si="0"/>
        <v>4160</v>
      </c>
      <c r="I11" s="32"/>
      <c r="J11" s="32">
        <f t="shared" si="1"/>
        <v>4160</v>
      </c>
    </row>
    <row r="12" spans="1:10" x14ac:dyDescent="0.4">
      <c r="A12" s="14">
        <v>6</v>
      </c>
      <c r="B12" s="14" t="s">
        <v>91</v>
      </c>
      <c r="C12" s="14" t="s">
        <v>90</v>
      </c>
      <c r="D12" s="14">
        <v>10</v>
      </c>
      <c r="E12" s="14"/>
      <c r="F12" s="32">
        <v>560</v>
      </c>
      <c r="G12" s="32">
        <v>9</v>
      </c>
      <c r="H12" s="32">
        <f t="shared" si="0"/>
        <v>5040</v>
      </c>
      <c r="I12" s="32"/>
      <c r="J12" s="32">
        <f t="shared" si="1"/>
        <v>5040</v>
      </c>
    </row>
    <row r="13" spans="1:10" x14ac:dyDescent="0.4">
      <c r="A13" s="14">
        <v>7</v>
      </c>
      <c r="B13" s="14" t="s">
        <v>92</v>
      </c>
      <c r="C13" s="14" t="s">
        <v>90</v>
      </c>
      <c r="D13" s="14">
        <v>2</v>
      </c>
      <c r="E13" s="14"/>
      <c r="F13" s="32">
        <v>580</v>
      </c>
      <c r="G13" s="32">
        <v>6</v>
      </c>
      <c r="H13" s="32">
        <f t="shared" si="0"/>
        <v>3480</v>
      </c>
      <c r="I13" s="32"/>
      <c r="J13" s="32">
        <f t="shared" si="1"/>
        <v>3480</v>
      </c>
    </row>
    <row r="14" spans="1:10" x14ac:dyDescent="0.4">
      <c r="A14" s="14">
        <v>8</v>
      </c>
      <c r="B14" s="14" t="s">
        <v>93</v>
      </c>
      <c r="C14" s="14" t="s">
        <v>90</v>
      </c>
      <c r="D14" s="14">
        <v>15</v>
      </c>
      <c r="E14" s="14"/>
      <c r="F14" s="32">
        <v>350</v>
      </c>
      <c r="G14" s="32">
        <v>12</v>
      </c>
      <c r="H14" s="32">
        <f t="shared" si="0"/>
        <v>4200</v>
      </c>
      <c r="I14" s="32"/>
      <c r="J14" s="32">
        <f t="shared" si="1"/>
        <v>4200</v>
      </c>
    </row>
    <row r="15" spans="1:10" x14ac:dyDescent="0.4">
      <c r="A15" s="14">
        <v>9</v>
      </c>
      <c r="B15" s="14" t="s">
        <v>94</v>
      </c>
      <c r="C15" s="14" t="s">
        <v>95</v>
      </c>
      <c r="D15" s="14">
        <v>5</v>
      </c>
      <c r="E15" s="14"/>
      <c r="F15" s="32">
        <v>680</v>
      </c>
      <c r="G15" s="32">
        <v>7</v>
      </c>
      <c r="H15" s="32">
        <f t="shared" si="0"/>
        <v>4760</v>
      </c>
      <c r="I15" s="32"/>
      <c r="J15" s="32">
        <f t="shared" si="1"/>
        <v>4760</v>
      </c>
    </row>
    <row r="16" spans="1:10" x14ac:dyDescent="0.4">
      <c r="A16" s="14">
        <v>10</v>
      </c>
      <c r="B16" s="14" t="s">
        <v>96</v>
      </c>
      <c r="C16" s="14" t="s">
        <v>95</v>
      </c>
      <c r="D16" s="14">
        <v>11</v>
      </c>
      <c r="E16" s="14"/>
      <c r="F16" s="32">
        <v>720</v>
      </c>
      <c r="G16" s="32">
        <v>5</v>
      </c>
      <c r="H16" s="32">
        <f t="shared" si="0"/>
        <v>3600</v>
      </c>
      <c r="I16" s="32"/>
      <c r="J16" s="32">
        <f t="shared" si="1"/>
        <v>3600</v>
      </c>
    </row>
    <row r="17" spans="1:10" x14ac:dyDescent="0.4">
      <c r="A17" s="14">
        <v>11</v>
      </c>
      <c r="B17" s="14" t="s">
        <v>103</v>
      </c>
      <c r="C17" s="14" t="s">
        <v>104</v>
      </c>
      <c r="D17" s="14">
        <v>8</v>
      </c>
      <c r="E17" s="14"/>
      <c r="F17" s="32">
        <v>280</v>
      </c>
      <c r="G17" s="32">
        <v>25</v>
      </c>
      <c r="H17" s="32">
        <f t="shared" si="0"/>
        <v>7000</v>
      </c>
      <c r="I17" s="32"/>
      <c r="J17" s="32">
        <f t="shared" si="1"/>
        <v>7000</v>
      </c>
    </row>
    <row r="18" spans="1:10" x14ac:dyDescent="0.4">
      <c r="A18" s="14">
        <v>12</v>
      </c>
      <c r="B18" s="14" t="s">
        <v>105</v>
      </c>
      <c r="C18" s="14" t="s">
        <v>104</v>
      </c>
      <c r="D18" s="14">
        <v>14</v>
      </c>
      <c r="E18" s="14"/>
      <c r="F18" s="32">
        <v>320</v>
      </c>
      <c r="G18" s="32">
        <v>18</v>
      </c>
      <c r="H18" s="32">
        <f t="shared" si="0"/>
        <v>5760</v>
      </c>
      <c r="I18" s="32"/>
      <c r="J18" s="32">
        <f t="shared" si="1"/>
        <v>5760</v>
      </c>
    </row>
    <row r="19" spans="1:10" x14ac:dyDescent="0.4">
      <c r="A19" s="14">
        <v>13</v>
      </c>
      <c r="B19" s="14" t="s">
        <v>106</v>
      </c>
      <c r="C19" s="14" t="s">
        <v>95</v>
      </c>
      <c r="D19" s="14">
        <v>4</v>
      </c>
      <c r="E19" s="14"/>
      <c r="F19" s="32">
        <v>450</v>
      </c>
      <c r="G19" s="32">
        <v>10</v>
      </c>
      <c r="H19" s="32">
        <f t="shared" si="0"/>
        <v>4500</v>
      </c>
      <c r="I19" s="32"/>
      <c r="J19" s="32">
        <f t="shared" si="1"/>
        <v>4500</v>
      </c>
    </row>
    <row r="20" spans="1:10" x14ac:dyDescent="0.4">
      <c r="A20" s="14">
        <v>14</v>
      </c>
      <c r="B20" s="14" t="s">
        <v>107</v>
      </c>
      <c r="C20" s="14" t="s">
        <v>90</v>
      </c>
      <c r="D20" s="14">
        <v>9</v>
      </c>
      <c r="E20" s="14"/>
      <c r="F20" s="32">
        <v>380</v>
      </c>
      <c r="G20" s="32">
        <v>16</v>
      </c>
      <c r="H20" s="32">
        <f t="shared" si="0"/>
        <v>6080</v>
      </c>
      <c r="I20" s="32"/>
      <c r="J20" s="32">
        <f t="shared" si="1"/>
        <v>6080</v>
      </c>
    </row>
    <row r="21" spans="1:10" x14ac:dyDescent="0.4">
      <c r="A21" s="14">
        <v>15</v>
      </c>
      <c r="B21" s="14" t="s">
        <v>108</v>
      </c>
      <c r="C21" s="14" t="s">
        <v>85</v>
      </c>
      <c r="D21" s="14">
        <v>6</v>
      </c>
      <c r="E21" s="14"/>
      <c r="F21" s="32">
        <v>520</v>
      </c>
      <c r="G21" s="32">
        <v>13</v>
      </c>
      <c r="H21" s="32">
        <f t="shared" si="0"/>
        <v>6760</v>
      </c>
      <c r="I21" s="32"/>
      <c r="J21" s="32">
        <f t="shared" si="1"/>
        <v>6760</v>
      </c>
    </row>
    <row r="22" spans="1:10" x14ac:dyDescent="0.4">
      <c r="A22" s="14">
        <v>16</v>
      </c>
      <c r="B22" s="14" t="s">
        <v>109</v>
      </c>
      <c r="C22" s="14" t="s">
        <v>85</v>
      </c>
      <c r="D22" s="14">
        <v>12</v>
      </c>
      <c r="E22" s="14"/>
      <c r="F22" s="32">
        <v>540</v>
      </c>
      <c r="G22" s="32">
        <v>11</v>
      </c>
      <c r="H22" s="32">
        <f t="shared" si="0"/>
        <v>5940</v>
      </c>
      <c r="I22" s="32"/>
      <c r="J22" s="32">
        <f t="shared" si="1"/>
        <v>5940</v>
      </c>
    </row>
    <row r="23" spans="1:10" x14ac:dyDescent="0.4">
      <c r="A23" s="14">
        <v>17</v>
      </c>
      <c r="B23" s="14" t="s">
        <v>110</v>
      </c>
      <c r="C23" s="14" t="s">
        <v>85</v>
      </c>
      <c r="D23" s="14">
        <v>5</v>
      </c>
      <c r="E23" s="14"/>
      <c r="F23" s="32">
        <v>300</v>
      </c>
      <c r="G23" s="32">
        <v>20</v>
      </c>
      <c r="H23" s="32">
        <f t="shared" si="0"/>
        <v>6000</v>
      </c>
      <c r="I23" s="32"/>
      <c r="J23" s="32">
        <f t="shared" si="1"/>
        <v>6000</v>
      </c>
    </row>
    <row r="24" spans="1:10" x14ac:dyDescent="0.4">
      <c r="A24" s="14">
        <v>18</v>
      </c>
      <c r="B24" s="14" t="s">
        <v>111</v>
      </c>
      <c r="C24" s="14" t="s">
        <v>90</v>
      </c>
      <c r="D24" s="14">
        <v>3</v>
      </c>
      <c r="E24" s="14"/>
      <c r="F24" s="32">
        <v>460</v>
      </c>
      <c r="G24" s="32">
        <v>9</v>
      </c>
      <c r="H24" s="32">
        <f t="shared" si="0"/>
        <v>4140</v>
      </c>
      <c r="I24" s="32"/>
      <c r="J24" s="32">
        <f t="shared" si="1"/>
        <v>4140</v>
      </c>
    </row>
    <row r="25" spans="1:10" x14ac:dyDescent="0.4">
      <c r="A25" s="14">
        <v>19</v>
      </c>
      <c r="B25" s="14" t="s">
        <v>112</v>
      </c>
      <c r="C25" s="14" t="s">
        <v>90</v>
      </c>
      <c r="D25" s="14">
        <v>7</v>
      </c>
      <c r="E25" s="14"/>
      <c r="F25" s="32">
        <v>590</v>
      </c>
      <c r="G25" s="32">
        <v>7</v>
      </c>
      <c r="H25" s="32">
        <f t="shared" si="0"/>
        <v>4130</v>
      </c>
      <c r="I25" s="32"/>
      <c r="J25" s="32">
        <f t="shared" si="1"/>
        <v>4130</v>
      </c>
    </row>
    <row r="26" spans="1:10" x14ac:dyDescent="0.4">
      <c r="A26" s="14">
        <v>20</v>
      </c>
      <c r="B26" s="14" t="s">
        <v>113</v>
      </c>
      <c r="C26" s="14" t="s">
        <v>95</v>
      </c>
      <c r="D26" s="14">
        <v>10</v>
      </c>
      <c r="E26" s="14"/>
      <c r="F26" s="32">
        <v>620</v>
      </c>
      <c r="G26" s="32">
        <v>8</v>
      </c>
      <c r="H26" s="32">
        <f t="shared" si="0"/>
        <v>4960</v>
      </c>
      <c r="I26" s="32"/>
      <c r="J26" s="32">
        <f t="shared" si="1"/>
        <v>4960</v>
      </c>
    </row>
  </sheetData>
  <phoneticPr fontId="2"/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8.75" x14ac:dyDescent="0.4"/>
  <cols>
    <col min="1" max="1" width="9" style="4"/>
    <col min="2" max="2" width="9.5" style="4" bestFit="1" customWidth="1"/>
    <col min="3" max="3" width="9" style="4"/>
    <col min="4" max="4" width="11.875" style="4" customWidth="1"/>
    <col min="5" max="5" width="11.75" style="4" customWidth="1"/>
    <col min="6" max="16384" width="9" style="4"/>
  </cols>
  <sheetData>
    <row r="1" spans="1:5" ht="13.5" customHeight="1" x14ac:dyDescent="0.4"/>
    <row r="2" spans="1:5" ht="24" x14ac:dyDescent="0.4">
      <c r="A2" s="20" t="s">
        <v>100</v>
      </c>
    </row>
    <row r="3" spans="1:5" s="5" customFormat="1" ht="22.5" customHeight="1" x14ac:dyDescent="0.4">
      <c r="A3" s="19" t="s">
        <v>0</v>
      </c>
      <c r="B3" s="19" t="s">
        <v>1</v>
      </c>
      <c r="C3" s="19" t="s">
        <v>14</v>
      </c>
      <c r="D3" s="19" t="s">
        <v>97</v>
      </c>
      <c r="E3" s="19" t="s">
        <v>12</v>
      </c>
    </row>
    <row r="4" spans="1:5" ht="21.75" customHeight="1" x14ac:dyDescent="0.4">
      <c r="A4" s="15">
        <v>1</v>
      </c>
      <c r="B4" s="16" t="s">
        <v>15</v>
      </c>
      <c r="C4" s="16" t="s">
        <v>16</v>
      </c>
      <c r="D4" s="17">
        <v>46204</v>
      </c>
      <c r="E4" s="18" cm="1">
        <f t="array" ref="E4:E8">_xlfn.SEQUENCE(5,,9,0.5)/24</f>
        <v>0.375</v>
      </c>
    </row>
    <row r="5" spans="1:5" ht="21.75" customHeight="1" x14ac:dyDescent="0.4">
      <c r="A5" s="15">
        <v>2</v>
      </c>
      <c r="B5" s="16" t="s">
        <v>17</v>
      </c>
      <c r="C5" s="16" t="s">
        <v>18</v>
      </c>
      <c r="D5" s="17">
        <v>46204</v>
      </c>
      <c r="E5" s="18">
        <v>0.39583333333333331</v>
      </c>
    </row>
    <row r="6" spans="1:5" ht="21.75" customHeight="1" x14ac:dyDescent="0.4">
      <c r="A6" s="15">
        <v>3</v>
      </c>
      <c r="B6" s="16" t="s">
        <v>19</v>
      </c>
      <c r="C6" s="16" t="s">
        <v>20</v>
      </c>
      <c r="D6" s="17">
        <v>46204</v>
      </c>
      <c r="E6" s="18">
        <v>0.41666666666666669</v>
      </c>
    </row>
    <row r="7" spans="1:5" ht="21.75" customHeight="1" x14ac:dyDescent="0.4">
      <c r="A7" s="15">
        <v>4</v>
      </c>
      <c r="B7" s="16" t="s">
        <v>21</v>
      </c>
      <c r="C7" s="16" t="s">
        <v>22</v>
      </c>
      <c r="D7" s="17">
        <v>46204</v>
      </c>
      <c r="E7" s="18">
        <v>0.4375</v>
      </c>
    </row>
    <row r="8" spans="1:5" ht="21.75" customHeight="1" x14ac:dyDescent="0.4">
      <c r="A8" s="15">
        <v>5</v>
      </c>
      <c r="B8" s="16" t="s">
        <v>23</v>
      </c>
      <c r="C8" s="16" t="s">
        <v>24</v>
      </c>
      <c r="D8" s="17">
        <v>46204</v>
      </c>
      <c r="E8" s="18">
        <v>0.45833333333333331</v>
      </c>
    </row>
    <row r="9" spans="1:5" x14ac:dyDescent="0.4">
      <c r="A9" s="1"/>
      <c r="B9" s="3"/>
      <c r="C9" s="3"/>
      <c r="D9" s="3"/>
      <c r="E9" s="3"/>
    </row>
  </sheetData>
  <phoneticPr fontId="2"/>
  <pageMargins left="0.25" right="0.25" top="0.5" bottom="0.5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3"/>
  <sheetViews>
    <sheetView workbookViewId="0"/>
  </sheetViews>
  <sheetFormatPr defaultRowHeight="18.75" x14ac:dyDescent="0.4"/>
  <cols>
    <col min="1" max="1" width="3" style="4" customWidth="1"/>
    <col min="2" max="2" width="8.625" style="4" customWidth="1"/>
    <col min="3" max="3" width="14" style="4" customWidth="1"/>
    <col min="4" max="4" width="14" style="5" customWidth="1"/>
    <col min="5" max="6" width="14" style="4" customWidth="1"/>
    <col min="7" max="7" width="11.375" style="4" customWidth="1"/>
    <col min="8" max="8" width="12.5" style="5" customWidth="1"/>
    <col min="9" max="10" width="15.75" style="4" customWidth="1"/>
    <col min="11" max="16384" width="9" style="4"/>
  </cols>
  <sheetData>
    <row r="2" spans="2:9" x14ac:dyDescent="0.4">
      <c r="B2" s="6" t="s">
        <v>102</v>
      </c>
      <c r="G2" s="6" t="s">
        <v>101</v>
      </c>
    </row>
    <row r="3" spans="2:9" s="7" customFormat="1" ht="18" x14ac:dyDescent="0.4">
      <c r="B3" s="37" t="s">
        <v>0</v>
      </c>
      <c r="C3" s="37" t="s">
        <v>98</v>
      </c>
      <c r="D3" s="37" t="s">
        <v>46</v>
      </c>
      <c r="E3" s="37" t="s">
        <v>13</v>
      </c>
      <c r="G3" s="38" t="s">
        <v>98</v>
      </c>
      <c r="H3" s="38" t="s">
        <v>46</v>
      </c>
      <c r="I3" s="38" t="s">
        <v>13</v>
      </c>
    </row>
    <row r="4" spans="2:9" x14ac:dyDescent="0.4">
      <c r="B4" s="1">
        <v>1</v>
      </c>
      <c r="C4" s="3" t="s">
        <v>48</v>
      </c>
      <c r="D4" s="2" t="s">
        <v>49</v>
      </c>
      <c r="E4" s="21">
        <v>985000</v>
      </c>
      <c r="I4" s="31"/>
    </row>
    <row r="5" spans="2:9" x14ac:dyDescent="0.4">
      <c r="B5" s="1">
        <v>2</v>
      </c>
      <c r="C5" s="3" t="s">
        <v>51</v>
      </c>
      <c r="D5" s="2" t="s">
        <v>49</v>
      </c>
      <c r="E5" s="21">
        <v>1245000</v>
      </c>
      <c r="I5" s="31"/>
    </row>
    <row r="6" spans="2:9" x14ac:dyDescent="0.4">
      <c r="B6" s="1">
        <v>3</v>
      </c>
      <c r="C6" s="3" t="s">
        <v>53</v>
      </c>
      <c r="D6" s="2" t="s">
        <v>49</v>
      </c>
      <c r="E6" s="21">
        <v>875000</v>
      </c>
      <c r="I6" s="31"/>
    </row>
    <row r="7" spans="2:9" x14ac:dyDescent="0.4">
      <c r="B7" s="1">
        <v>4</v>
      </c>
      <c r="C7" s="3" t="s">
        <v>55</v>
      </c>
      <c r="D7" s="2" t="s">
        <v>49</v>
      </c>
      <c r="E7" s="21">
        <v>1560000</v>
      </c>
      <c r="I7" s="31"/>
    </row>
    <row r="8" spans="2:9" x14ac:dyDescent="0.4">
      <c r="B8" s="1">
        <v>5</v>
      </c>
      <c r="C8" s="3" t="s">
        <v>57</v>
      </c>
      <c r="D8" s="2" t="s">
        <v>49</v>
      </c>
      <c r="E8" s="21">
        <v>1130000</v>
      </c>
      <c r="I8" s="31"/>
    </row>
    <row r="9" spans="2:9" x14ac:dyDescent="0.4">
      <c r="B9" s="1">
        <v>6</v>
      </c>
      <c r="C9" s="3" t="s">
        <v>59</v>
      </c>
      <c r="D9" s="2" t="s">
        <v>49</v>
      </c>
      <c r="E9" s="21">
        <v>1740000</v>
      </c>
      <c r="I9" s="31"/>
    </row>
    <row r="10" spans="2:9" x14ac:dyDescent="0.4">
      <c r="B10" s="1">
        <v>7</v>
      </c>
      <c r="C10" s="3" t="s">
        <v>61</v>
      </c>
      <c r="D10" s="2" t="s">
        <v>49</v>
      </c>
      <c r="E10" s="21">
        <v>920000</v>
      </c>
      <c r="I10" s="31"/>
    </row>
    <row r="11" spans="2:9" x14ac:dyDescent="0.4">
      <c r="B11" s="1">
        <v>8</v>
      </c>
      <c r="C11" s="3" t="s">
        <v>62</v>
      </c>
      <c r="D11" s="2" t="s">
        <v>49</v>
      </c>
      <c r="E11" s="21">
        <v>1480000</v>
      </c>
      <c r="I11" s="31"/>
    </row>
    <row r="12" spans="2:9" x14ac:dyDescent="0.4">
      <c r="B12" s="1">
        <v>9</v>
      </c>
      <c r="C12" s="3" t="s">
        <v>64</v>
      </c>
      <c r="D12" s="2" t="s">
        <v>49</v>
      </c>
      <c r="E12" s="21">
        <v>810000</v>
      </c>
      <c r="I12" s="31"/>
    </row>
    <row r="13" spans="2:9" x14ac:dyDescent="0.4">
      <c r="B13" s="1">
        <v>10</v>
      </c>
      <c r="C13" s="3" t="s">
        <v>66</v>
      </c>
      <c r="D13" s="2" t="s">
        <v>49</v>
      </c>
      <c r="E13" s="21">
        <v>1320000</v>
      </c>
      <c r="I13" s="31"/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8038-D548-4E81-B444-1B60240C2368}">
  <dimension ref="A1"/>
  <sheetViews>
    <sheetView workbookViewId="0"/>
  </sheetViews>
  <sheetFormatPr defaultRowHeight="18.75" x14ac:dyDescent="0.4"/>
  <cols>
    <col min="1" max="16384" width="9" style="4"/>
  </cols>
  <sheetData>
    <row r="1" spans="1:1" ht="24.75" customHeight="1" x14ac:dyDescent="0.4">
      <c r="A1" s="8" t="s">
        <v>99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8FB83-9AF1-4B11-BC25-F2850EBF5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スタッフ名簿</vt:lpstr>
      <vt:lpstr>食材配送</vt:lpstr>
      <vt:lpstr>メニュー在庫</vt:lpstr>
      <vt:lpstr>シフト予定</vt:lpstr>
      <vt:lpstr>売上ランキング</vt:lpstr>
      <vt:lpstr>仕入在庫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2026-06-25T08:30:41Z</dcterms:created>
  <dcterms:modified xsi:type="dcterms:W3CDTF">2026-07-10T05:23:26Z</dcterms:modified>
</cp:coreProperties>
</file>