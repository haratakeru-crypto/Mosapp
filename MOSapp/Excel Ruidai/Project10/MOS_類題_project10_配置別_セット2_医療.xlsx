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10\"/>
    </mc:Choice>
  </mc:AlternateContent>
  <xr:revisionPtr revIDLastSave="0" documentId="13_ncr:1_{BE0D1763-754A-42E8-8482-188C2E228184}" xr6:coauthVersionLast="47" xr6:coauthVersionMax="47" xr10:uidLastSave="{00000000-0000-0000-0000-000000000000}"/>
  <bookViews>
    <workbookView xWindow="-120" yWindow="-120" windowWidth="29040" windowHeight="15720" tabRatio="813" xr2:uid="{00000000-000D-0000-FFFF-FFFF00000000}"/>
  </bookViews>
  <sheets>
    <sheet name="医療スタッフ" sheetId="2" r:id="rId1"/>
    <sheet name="往診精算" sheetId="3" r:id="rId2"/>
    <sheet name="薬品在庫" sheetId="4" r:id="rId3"/>
    <sheet name="検査予約" sheetId="5" r:id="rId4"/>
    <sheet name="診療件数" sheetId="6" r:id="rId5"/>
    <sheet name="在庫管理" sheetId="9" r:id="rId6"/>
  </sheets>
  <definedNames>
    <definedName name="ExternalData_1" localSheetId="5" hidden="1">在庫管理!#REF!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6" i="4"/>
  <c r="D4" i="5" a="1"/>
  <c r="D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<sst xmlns="http://schemas.openxmlformats.org/spreadsheetml/2006/main" count="315" uniqueCount="191">
  <si>
    <t>No</t>
  </si>
  <si>
    <t>氏名</t>
  </si>
  <si>
    <t>夜勤回数</t>
  </si>
  <si>
    <t>夜勤区分</t>
  </si>
  <si>
    <t>受付番号</t>
  </si>
  <si>
    <t>外科</t>
  </si>
  <si>
    <t>内科</t>
  </si>
  <si>
    <t>担当者</t>
  </si>
  <si>
    <t>出張日数</t>
  </si>
  <si>
    <t>出張手当</t>
  </si>
  <si>
    <t>消毒液</t>
  </si>
  <si>
    <t>診療件数</t>
  </si>
  <si>
    <t>小児科</t>
  </si>
  <si>
    <t>眼科</t>
  </si>
  <si>
    <t>皮膚科</t>
  </si>
  <si>
    <t>整形外科</t>
  </si>
  <si>
    <t>診療科</t>
  </si>
  <si>
    <t>山田太郎</t>
  </si>
  <si>
    <t>佐藤花子</t>
  </si>
  <si>
    <t>鈴木一郎</t>
  </si>
  <si>
    <t>高橋美咲</t>
  </si>
  <si>
    <t>伊藤健</t>
  </si>
  <si>
    <t>渡辺愛</t>
  </si>
  <si>
    <t>小林翔</t>
  </si>
  <si>
    <t>加藤彩</t>
  </si>
  <si>
    <t>吉田光</t>
  </si>
  <si>
    <t>松本遥</t>
  </si>
  <si>
    <t>林真琴</t>
  </si>
  <si>
    <t>中村大地</t>
  </si>
  <si>
    <t>清水優</t>
  </si>
  <si>
    <t>森拓海</t>
  </si>
  <si>
    <t>石井愛</t>
  </si>
  <si>
    <t>井上恒一</t>
  </si>
  <si>
    <t>阿部翼</t>
  </si>
  <si>
    <t>西村彩</t>
  </si>
  <si>
    <t>橋本陽</t>
  </si>
  <si>
    <t>前田涼</t>
  </si>
  <si>
    <t>岡田真理</t>
  </si>
  <si>
    <t>藤井誠</t>
  </si>
  <si>
    <t>原田直樹</t>
  </si>
  <si>
    <t>竹内花</t>
  </si>
  <si>
    <t>新入社員スタッフ名簿</t>
    <rPh sb="0" eb="2">
      <t>シンニュウ</t>
    </rPh>
    <rPh sb="2" eb="4">
      <t>シャイン</t>
    </rPh>
    <rPh sb="8" eb="10">
      <t>メイボ</t>
    </rPh>
    <phoneticPr fontId="1"/>
  </si>
  <si>
    <t>スタッフNO</t>
    <phoneticPr fontId="1"/>
  </si>
  <si>
    <t>訪問エリア</t>
  </si>
  <si>
    <t>新宿</t>
  </si>
  <si>
    <t>渋谷</t>
  </si>
  <si>
    <t>池袋</t>
  </si>
  <si>
    <t>上野</t>
  </si>
  <si>
    <t>品川</t>
  </si>
  <si>
    <t>銀座</t>
  </si>
  <si>
    <t>秋葉原</t>
  </si>
  <si>
    <t>日本橋</t>
  </si>
  <si>
    <t>浅草</t>
  </si>
  <si>
    <t>新橋</t>
  </si>
  <si>
    <t>横浜</t>
  </si>
  <si>
    <t>大宮</t>
  </si>
  <si>
    <t>千葉</t>
  </si>
  <si>
    <t>立川</t>
  </si>
  <si>
    <t>町田</t>
  </si>
  <si>
    <t>川崎</t>
  </si>
  <si>
    <t>柏</t>
  </si>
  <si>
    <t>浦和</t>
  </si>
  <si>
    <t>吉祥寺</t>
  </si>
  <si>
    <t>中野</t>
  </si>
  <si>
    <t>往診経費計上</t>
    <rPh sb="0" eb="2">
      <t>オウシン</t>
    </rPh>
    <rPh sb="2" eb="4">
      <t>ケイヒ</t>
    </rPh>
    <rPh sb="4" eb="6">
      <t>ケイジョウ</t>
    </rPh>
    <phoneticPr fontId="1"/>
  </si>
  <si>
    <t>アセトアミノフェン</t>
  </si>
  <si>
    <t>ロキソプロフェン</t>
  </si>
  <si>
    <t>アモキシシリン</t>
  </si>
  <si>
    <t>抗生物質</t>
  </si>
  <si>
    <t>セファレキシン</t>
  </si>
  <si>
    <t>クラリスロマイシン</t>
  </si>
  <si>
    <t>メトホルミン</t>
  </si>
  <si>
    <t>アムロジピン</t>
  </si>
  <si>
    <t>降圧薬</t>
  </si>
  <si>
    <t>カンデサルタン</t>
  </si>
  <si>
    <t>フロセミド</t>
  </si>
  <si>
    <t>利尿薬</t>
  </si>
  <si>
    <t>オメプラゾール</t>
  </si>
  <si>
    <t>胃薬</t>
  </si>
  <si>
    <t>ファモチジン</t>
  </si>
  <si>
    <t>モンテルカスト</t>
  </si>
  <si>
    <t>フェキソフェナジン</t>
  </si>
  <si>
    <t>プレドニゾロン</t>
  </si>
  <si>
    <t>ステロイド</t>
  </si>
  <si>
    <t>ワルファリン</t>
  </si>
  <si>
    <t>抗凝固薬</t>
  </si>
  <si>
    <t>ヘパリン</t>
  </si>
  <si>
    <t>ジアゼパム</t>
  </si>
  <si>
    <t>ゾルピデム</t>
  </si>
  <si>
    <t>睡眠薬</t>
  </si>
  <si>
    <t>レボフロキサシン</t>
  </si>
  <si>
    <t>抗菌薬</t>
  </si>
  <si>
    <t>栄養剤</t>
  </si>
  <si>
    <t>鉄剤</t>
  </si>
  <si>
    <t>便秘薬</t>
  </si>
  <si>
    <t>酸化マグネシウム</t>
  </si>
  <si>
    <t>デキストロメトルファン</t>
  </si>
  <si>
    <t>カルボシステイン</t>
  </si>
  <si>
    <t>去痰薬</t>
  </si>
  <si>
    <t>点眼液A</t>
  </si>
  <si>
    <t>眼科薬</t>
  </si>
  <si>
    <t>衛生材料</t>
  </si>
  <si>
    <t>湿布薬</t>
  </si>
  <si>
    <t>外用薬</t>
  </si>
  <si>
    <t>診療科名</t>
  </si>
  <si>
    <t>地域</t>
  </si>
  <si>
    <t>耳鼻科</t>
  </si>
  <si>
    <t>歯科</t>
  </si>
  <si>
    <t>婦人科</t>
  </si>
  <si>
    <t>泌尿器科</t>
  </si>
  <si>
    <t>循環器科</t>
  </si>
  <si>
    <t>消化器科</t>
  </si>
  <si>
    <t>呼吸器科</t>
  </si>
  <si>
    <t>脳神経外科</t>
  </si>
  <si>
    <t>リハビリ科</t>
  </si>
  <si>
    <t>1日当たりの診療件数(目安）</t>
    <rPh sb="1" eb="2">
      <t>ニチ</t>
    </rPh>
    <rPh sb="2" eb="3">
      <t>ア</t>
    </rPh>
    <rPh sb="6" eb="8">
      <t>シンリョウ</t>
    </rPh>
    <rPh sb="8" eb="10">
      <t>ケンスウ</t>
    </rPh>
    <rPh sb="11" eb="13">
      <t>メヤス</t>
    </rPh>
    <phoneticPr fontId="1"/>
  </si>
  <si>
    <t>薬 品 在 庫 一 覧</t>
    <rPh sb="0" eb="1">
      <t>クスリ</t>
    </rPh>
    <rPh sb="2" eb="3">
      <t>ヒン</t>
    </rPh>
    <rPh sb="4" eb="5">
      <t>ザイ</t>
    </rPh>
    <rPh sb="6" eb="7">
      <t>コ</t>
    </rPh>
    <rPh sb="8" eb="9">
      <t>イチ</t>
    </rPh>
    <rPh sb="10" eb="11">
      <t>ラン</t>
    </rPh>
    <phoneticPr fontId="1"/>
  </si>
  <si>
    <t>患者ID</t>
  </si>
  <si>
    <t>検査時間</t>
  </si>
  <si>
    <t>検査区分</t>
  </si>
  <si>
    <t>P25001</t>
  </si>
  <si>
    <t>頭部</t>
  </si>
  <si>
    <t>P25002</t>
  </si>
  <si>
    <t>腰椎</t>
  </si>
  <si>
    <t>P25003</t>
  </si>
  <si>
    <t>神経内科</t>
  </si>
  <si>
    <t>P25004</t>
  </si>
  <si>
    <t>頸椎</t>
  </si>
  <si>
    <t>P25005</t>
  </si>
  <si>
    <t>膝</t>
  </si>
  <si>
    <t>P25006</t>
  </si>
  <si>
    <t>P25007</t>
  </si>
  <si>
    <t>P25008</t>
  </si>
  <si>
    <t>肩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</si>
  <si>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</si>
  <si>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</si>
  <si>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</si>
  <si>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</si>
  <si>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</si>
  <si>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</si>
  <si>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</si>
  <si>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</si>
  <si>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</si>
  <si>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</si>
  <si>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</si>
  <si>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</si>
  <si>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青木 恒一</t>
  </si>
  <si>
    <t>石田 真由</t>
  </si>
  <si>
    <t>遠藤 恒一</t>
  </si>
  <si>
    <t>大西 美咲</t>
  </si>
  <si>
    <t>岡本 翼</t>
  </si>
  <si>
    <t>小川 真理</t>
  </si>
  <si>
    <t>木村 拓海</t>
  </si>
  <si>
    <t>久保 彩香</t>
  </si>
  <si>
    <t>河野 翔太</t>
  </si>
  <si>
    <t>坂本 優奈</t>
  </si>
  <si>
    <t>島田 恒一</t>
  </si>
  <si>
    <t>杉山 美月</t>
  </si>
  <si>
    <t>高田 直樹</t>
  </si>
  <si>
    <t>竹内 美咲</t>
  </si>
  <si>
    <t>田村 大輔</t>
  </si>
  <si>
    <t>中島 千尋</t>
  </si>
  <si>
    <t>西田 恒一</t>
  </si>
  <si>
    <t>長谷川 彩</t>
  </si>
  <si>
    <t>平井 翼</t>
  </si>
  <si>
    <t>藤田 真央</t>
  </si>
  <si>
    <t>MRI検査予約</t>
    <phoneticPr fontId="1"/>
  </si>
  <si>
    <t>医療薬品表</t>
    <rPh sb="0" eb="2">
      <t>イリョウ</t>
    </rPh>
    <rPh sb="2" eb="4">
      <t>ヤクヒン</t>
    </rPh>
    <rPh sb="4" eb="5">
      <t>ヒョウ</t>
    </rPh>
    <phoneticPr fontId="1"/>
  </si>
  <si>
    <t>1日当たりの診療件数</t>
    <rPh sb="1" eb="2">
      <t>ニチ</t>
    </rPh>
    <rPh sb="2" eb="3">
      <t>ア</t>
    </rPh>
    <rPh sb="6" eb="8">
      <t>シンリョウ</t>
    </rPh>
    <rPh sb="8" eb="10">
      <t>ケンスウ</t>
    </rPh>
    <phoneticPr fontId="1"/>
  </si>
  <si>
    <t>解熱鎮痛薬</t>
  </si>
  <si>
    <t>糖尿病薬</t>
  </si>
  <si>
    <t>インスリン製剤</t>
  </si>
  <si>
    <t>アレルギー薬</t>
  </si>
  <si>
    <t>精神神経薬</t>
  </si>
  <si>
    <t>ビタミンB製剤</t>
  </si>
  <si>
    <t>センノシド</t>
  </si>
  <si>
    <t>鎮咳薬</t>
  </si>
  <si>
    <t>眼軟膏A</t>
  </si>
  <si>
    <t>発注の要否</t>
    <rPh sb="0" eb="2">
      <t>ハッチュウ</t>
    </rPh>
    <rPh sb="3" eb="5">
      <t>ヨウヒ</t>
    </rPh>
    <phoneticPr fontId="1"/>
  </si>
  <si>
    <t>No</t>
    <phoneticPr fontId="1"/>
  </si>
  <si>
    <t>薬品名</t>
    <phoneticPr fontId="1"/>
  </si>
  <si>
    <t>分類</t>
    <phoneticPr fontId="1"/>
  </si>
  <si>
    <t>在庫数</t>
    <phoneticPr fontId="1"/>
  </si>
  <si>
    <t>使用率</t>
    <phoneticPr fontId="1"/>
  </si>
  <si>
    <t>発注単価</t>
    <phoneticPr fontId="1"/>
  </si>
  <si>
    <t>発注数量</t>
    <phoneticPr fontId="1"/>
  </si>
  <si>
    <t>担当医名</t>
    <rPh sb="3" eb="4">
      <t>メイ</t>
    </rPh>
    <phoneticPr fontId="1"/>
  </si>
  <si>
    <t>配送料率</t>
    <rPh sb="0" eb="2">
      <t>ハイソウ</t>
    </rPh>
    <rPh sb="2" eb="3">
      <t>リョウ</t>
    </rPh>
    <rPh sb="3" eb="4">
      <t>リツ</t>
    </rPh>
    <phoneticPr fontId="1"/>
  </si>
  <si>
    <t>金額</t>
    <rPh sb="0" eb="2">
      <t>キンガク</t>
    </rPh>
    <phoneticPr fontId="1"/>
  </si>
  <si>
    <t>支払金額</t>
    <rPh sb="0" eb="2">
      <t>シハライ</t>
    </rPh>
    <rPh sb="2" eb="4">
      <t>キンガク</t>
    </rPh>
    <phoneticPr fontId="1"/>
  </si>
  <si>
    <t>氏名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</si>
</sst>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4" x14ac:knownFonts="1">
    <font>
      <sz val="11"/>
      <color theme="1"/>
      <name val="HGｺﾞｼｯｸM"/>
      <family val="2"/>
      <scheme val="minor"/>
    </font>
    <font>
      <sz val="6"/>
      <name val="HGｺﾞｼｯｸM"/>
      <family val="3"/>
      <charset val="128"/>
      <scheme val="minor"/>
    </font>
    <font>
      <sz val="11"/>
      <color theme="1"/>
      <name val="HGｺﾞｼｯｸM"/>
      <family val="2"/>
      <scheme val="minor"/>
    </font>
    <font>
      <b/>
      <sz val="11"/>
      <color theme="1"/>
      <name val="HGｺﾞｼｯｸM"/>
      <family val="3"/>
      <charset val="128"/>
      <scheme val="minor"/>
    </font>
    <font>
      <sz val="11"/>
      <color theme="1"/>
      <name val="BIZ UDP明朝 Medium"/>
      <family val="1"/>
      <charset val="128"/>
    </font>
    <font>
      <sz val="14"/>
      <color theme="1"/>
      <name val="BIZ UDP明朝 Medium"/>
      <family val="1"/>
      <charset val="128"/>
    </font>
    <font>
      <b/>
      <sz val="11"/>
      <color theme="0"/>
      <name val="BIZ UDP明朝 Medium"/>
      <family val="1"/>
      <charset val="128"/>
    </font>
    <font>
      <b/>
      <sz val="11"/>
      <color theme="1"/>
      <name val="BIZ UDP明朝 Medium"/>
      <family val="1"/>
      <charset val="128"/>
    </font>
    <font>
      <b/>
      <sz val="14"/>
      <color theme="6" tint="-0.499984740745262"/>
      <name val="BIZ UDP明朝 Medium"/>
      <family val="1"/>
      <charset val="128"/>
    </font>
    <font>
      <b/>
      <sz val="14"/>
      <color theme="1"/>
      <name val="BIZ UDP明朝 Medium"/>
      <family val="1"/>
      <charset val="128"/>
    </font>
    <font>
      <b/>
      <sz val="14"/>
      <color theme="0"/>
      <name val="BIZ UDP明朝 Medium"/>
      <family val="1"/>
      <charset val="128"/>
    </font>
    <font>
      <sz val="16"/>
      <color theme="1"/>
      <name val="BIZ UDP明朝 Medium"/>
      <family val="1"/>
      <charset val="128"/>
    </font>
    <font>
      <b/>
      <sz val="12"/>
      <color theme="0"/>
      <name val="BIZ UDP明朝 Medium"/>
      <family val="1"/>
      <charset val="128"/>
    </font>
    <font>
      <b/>
      <sz val="16"/>
      <color theme="9" tint="-0.499984740745262"/>
      <name val="BIZ UDP明朝 Medium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249977111117893"/>
        <bgColor theme="8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theme="7"/>
      </patternFill>
    </fill>
  </fills>
  <borders count="1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8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38" fontId="4" fillId="0" borderId="3" xfId="1" applyFont="1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8" xfId="0" applyBorder="1" applyAlignment="1">
      <alignment vertical="center" wrapText="1"/>
    </xf>
    <xf numFmtId="176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76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vertical="center"/>
    </xf>
    <xf numFmtId="38" fontId="4" fillId="5" borderId="11" xfId="1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38" fontId="4" fillId="6" borderId="11" xfId="1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38" fontId="4" fillId="5" borderId="9" xfId="1" applyFont="1" applyFill="1" applyBorder="1" applyAlignment="1">
      <alignment vertical="center"/>
    </xf>
    <xf numFmtId="0" fontId="12" fillId="7" borderId="9" xfId="0" applyFont="1" applyFill="1" applyBorder="1" applyAlignment="1">
      <alignment horizontal="center" vertical="center"/>
    </xf>
    <xf numFmtId="0" fontId="13" fillId="9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3" fillId="11" borderId="8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/>
    </xf>
    <xf numFmtId="9" fontId="4" fillId="0" borderId="4" xfId="2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vertical="center"/>
    </xf>
    <xf numFmtId="38" fontId="4" fillId="0" borderId="4" xfId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医療スタッフ!$E$4</c:f>
              <c:strCache>
                <c:ptCount val="1"/>
                <c:pt idx="0">
                  <c:v>夜勤回数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4000"/>
                  </a:schemeClr>
                </a:gs>
                <a:gs pos="100000">
                  <a:schemeClr val="accent1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医療スタッフ!$C$5:$C$28</c:f>
              <c:strCache>
                <c:ptCount val="24"/>
                <c:pt idx="0">
                  <c:v>山田太郎</c:v>
                </c:pt>
                <c:pt idx="1">
                  <c:v>佐藤花子</c:v>
                </c:pt>
                <c:pt idx="2">
                  <c:v>鈴木一郎</c:v>
                </c:pt>
                <c:pt idx="3">
                  <c:v>高橋美咲</c:v>
                </c:pt>
                <c:pt idx="4">
                  <c:v>伊藤健</c:v>
                </c:pt>
                <c:pt idx="5">
                  <c:v>渡辺愛</c:v>
                </c:pt>
                <c:pt idx="6">
                  <c:v>小林翔</c:v>
                </c:pt>
                <c:pt idx="7">
                  <c:v>加藤彩</c:v>
                </c:pt>
                <c:pt idx="8">
                  <c:v>吉田光</c:v>
                </c:pt>
                <c:pt idx="9">
                  <c:v>松本遥</c:v>
                </c:pt>
                <c:pt idx="10">
                  <c:v>林真琴</c:v>
                </c:pt>
                <c:pt idx="11">
                  <c:v>中村大地</c:v>
                </c:pt>
                <c:pt idx="12">
                  <c:v>清水優</c:v>
                </c:pt>
                <c:pt idx="13">
                  <c:v>森拓海</c:v>
                </c:pt>
                <c:pt idx="14">
                  <c:v>石井愛</c:v>
                </c:pt>
                <c:pt idx="15">
                  <c:v>井上恒一</c:v>
                </c:pt>
                <c:pt idx="16">
                  <c:v>阿部翼</c:v>
                </c:pt>
                <c:pt idx="17">
                  <c:v>西村彩</c:v>
                </c:pt>
                <c:pt idx="18">
                  <c:v>橋本陽</c:v>
                </c:pt>
                <c:pt idx="19">
                  <c:v>前田涼</c:v>
                </c:pt>
                <c:pt idx="20">
                  <c:v>岡田真理</c:v>
                </c:pt>
                <c:pt idx="21">
                  <c:v>藤井誠</c:v>
                </c:pt>
                <c:pt idx="22">
                  <c:v>原田直樹</c:v>
                </c:pt>
                <c:pt idx="23">
                  <c:v>竹内花</c:v>
                </c:pt>
              </c:strCache>
            </c:strRef>
          </c:cat>
          <c:val>
            <c:numRef>
              <c:f>医療スタッフ!$E$5:$E$28</c:f>
              <c:numCache>
                <c:formatCode>General</c:formatCode>
                <c:ptCount val="24"/>
                <c:pt idx="0">
                  <c:v>12</c:v>
                </c:pt>
                <c:pt idx="1">
                  <c:v>8</c:v>
                </c:pt>
                <c:pt idx="2">
                  <c:v>15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18</c:v>
                </c:pt>
                <c:pt idx="7">
                  <c:v>4</c:v>
                </c:pt>
                <c:pt idx="8">
                  <c:v>13</c:v>
                </c:pt>
                <c:pt idx="9">
                  <c:v>10</c:v>
                </c:pt>
                <c:pt idx="10">
                  <c:v>16</c:v>
                </c:pt>
                <c:pt idx="11">
                  <c:v>7</c:v>
                </c:pt>
                <c:pt idx="12">
                  <c:v>14</c:v>
                </c:pt>
                <c:pt idx="13">
                  <c:v>5</c:v>
                </c:pt>
                <c:pt idx="14">
                  <c:v>19</c:v>
                </c:pt>
                <c:pt idx="15">
                  <c:v>3</c:v>
                </c:pt>
                <c:pt idx="16">
                  <c:v>12</c:v>
                </c:pt>
                <c:pt idx="17">
                  <c:v>8</c:v>
                </c:pt>
                <c:pt idx="18">
                  <c:v>17</c:v>
                </c:pt>
                <c:pt idx="19">
                  <c:v>6</c:v>
                </c:pt>
                <c:pt idx="20">
                  <c:v>11</c:v>
                </c:pt>
                <c:pt idx="21">
                  <c:v>9</c:v>
                </c:pt>
                <c:pt idx="22">
                  <c:v>20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6-4C9C-A6F1-E56869A327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5391903"/>
        <c:axId val="525399583"/>
      </c:barChart>
      <c:catAx>
        <c:axId val="52539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5399583"/>
        <c:crosses val="autoZero"/>
        <c:auto val="1"/>
        <c:lblAlgn val="ctr"/>
        <c:lblOffset val="100"/>
        <c:noMultiLvlLbl val="0"/>
      </c:catAx>
      <c:valAx>
        <c:axId val="52539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539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</xdr:colOff>
      <xdr:row>3</xdr:row>
      <xdr:rowOff>14287</xdr:rowOff>
    </xdr:from>
    <xdr:to>
      <xdr:col>15</xdr:col>
      <xdr:colOff>471487</xdr:colOff>
      <xdr:row>19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D39635E-36EA-A465-7DA8-4C982C5CA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オン ボードルーム">
  <a:themeElements>
    <a:clrScheme name="デザート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イオン ボードルーム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8"/>
  <sheetViews>
    <sheetView tabSelected="1" workbookViewId="0"/>
  </sheetViews>
  <sheetFormatPr defaultRowHeight="16.5" customHeight="1" x14ac:dyDescent="0.15"/>
  <cols>
    <col min="1" max="1" width="2.5" style="2" customWidth="1"/>
    <col min="2" max="2" width="13.5" style="2" customWidth="1"/>
    <col min="3" max="4" width="10.5" style="2" customWidth="1"/>
    <col min="5" max="7" width="11.25" style="2" customWidth="1"/>
    <col min="8" max="16384" width="9" style="2"/>
  </cols>
  <sheetData>
    <row r="2" spans="2:7" s="4" customFormat="1" ht="24.75" customHeight="1" thickBot="1" x14ac:dyDescent="0.2">
      <c r="B2" s="43" t="s">
        <v>41</v>
      </c>
      <c r="C2" s="43"/>
      <c r="D2" s="43"/>
      <c r="E2" s="43"/>
      <c r="F2" s="43"/>
      <c r="G2" s="43"/>
    </row>
    <row r="4" spans="2:7" s="1" customFormat="1" ht="16.5" customHeight="1" x14ac:dyDescent="0.15">
      <c r="B4" s="32" t="s">
        <v>42</v>
      </c>
      <c r="C4" s="32" t="s">
        <v>190</v>
      </c>
      <c r="D4" s="32" t="s">
        <v>16</v>
      </c>
      <c r="E4" s="32" t="s">
        <v>2</v>
      </c>
      <c r="F4" s="32" t="s">
        <v>3</v>
      </c>
      <c r="G4" s="32" t="s">
        <v>4</v>
      </c>
    </row>
    <row r="5" spans="2:7" ht="16.5" customHeight="1" x14ac:dyDescent="0.15">
      <c r="B5" s="5">
        <v>2604011</v>
      </c>
      <c r="C5" s="5" t="s">
        <v>17</v>
      </c>
      <c r="D5" s="5" t="s">
        <v>6</v>
      </c>
      <c r="E5" s="5">
        <v>12</v>
      </c>
      <c r="F5" s="5"/>
      <c r="G5" s="5"/>
    </row>
    <row r="6" spans="2:7" ht="16.5" customHeight="1" x14ac:dyDescent="0.15">
      <c r="B6" s="5">
        <v>2604012</v>
      </c>
      <c r="C6" s="5" t="s">
        <v>18</v>
      </c>
      <c r="D6" s="5" t="s">
        <v>5</v>
      </c>
      <c r="E6" s="5">
        <v>8</v>
      </c>
      <c r="F6" s="5"/>
      <c r="G6" s="5"/>
    </row>
    <row r="7" spans="2:7" ht="16.5" customHeight="1" x14ac:dyDescent="0.15">
      <c r="B7" s="5">
        <v>2604013</v>
      </c>
      <c r="C7" s="5" t="s">
        <v>19</v>
      </c>
      <c r="D7" s="5" t="s">
        <v>12</v>
      </c>
      <c r="E7" s="5">
        <v>15</v>
      </c>
      <c r="F7" s="5"/>
      <c r="G7" s="5"/>
    </row>
    <row r="8" spans="2:7" ht="16.5" customHeight="1" x14ac:dyDescent="0.15">
      <c r="B8" s="5">
        <v>2604014</v>
      </c>
      <c r="C8" s="5" t="s">
        <v>20</v>
      </c>
      <c r="D8" s="5" t="s">
        <v>15</v>
      </c>
      <c r="E8" s="5">
        <v>6</v>
      </c>
      <c r="F8" s="5"/>
      <c r="G8" s="5"/>
    </row>
    <row r="9" spans="2:7" ht="16.5" customHeight="1" x14ac:dyDescent="0.15">
      <c r="B9" s="5">
        <v>2604015</v>
      </c>
      <c r="C9" s="5" t="s">
        <v>21</v>
      </c>
      <c r="D9" s="5" t="s">
        <v>14</v>
      </c>
      <c r="E9" s="5">
        <v>11</v>
      </c>
      <c r="F9" s="5"/>
      <c r="G9" s="5"/>
    </row>
    <row r="10" spans="2:7" ht="16.5" customHeight="1" x14ac:dyDescent="0.15">
      <c r="B10" s="5">
        <v>2604016</v>
      </c>
      <c r="C10" s="5" t="s">
        <v>22</v>
      </c>
      <c r="D10" s="5" t="s">
        <v>6</v>
      </c>
      <c r="E10" s="5">
        <v>9</v>
      </c>
      <c r="F10" s="5"/>
      <c r="G10" s="5"/>
    </row>
    <row r="11" spans="2:7" ht="16.5" customHeight="1" x14ac:dyDescent="0.15">
      <c r="B11" s="5">
        <v>2604017</v>
      </c>
      <c r="C11" s="5" t="s">
        <v>23</v>
      </c>
      <c r="D11" s="5" t="s">
        <v>5</v>
      </c>
      <c r="E11" s="5">
        <v>18</v>
      </c>
      <c r="F11" s="5"/>
      <c r="G11" s="5"/>
    </row>
    <row r="12" spans="2:7" ht="16.5" customHeight="1" x14ac:dyDescent="0.15">
      <c r="B12" s="5">
        <v>2604018</v>
      </c>
      <c r="C12" s="5" t="s">
        <v>24</v>
      </c>
      <c r="D12" s="5" t="s">
        <v>12</v>
      </c>
      <c r="E12" s="5">
        <v>4</v>
      </c>
      <c r="F12" s="5"/>
      <c r="G12" s="5"/>
    </row>
    <row r="13" spans="2:7" ht="16.5" customHeight="1" x14ac:dyDescent="0.15">
      <c r="B13" s="5">
        <v>2604019</v>
      </c>
      <c r="C13" s="5" t="s">
        <v>25</v>
      </c>
      <c r="D13" s="5" t="s">
        <v>15</v>
      </c>
      <c r="E13" s="5">
        <v>13</v>
      </c>
      <c r="F13" s="5"/>
      <c r="G13" s="5"/>
    </row>
    <row r="14" spans="2:7" ht="16.5" customHeight="1" x14ac:dyDescent="0.15">
      <c r="B14" s="5">
        <v>2604020</v>
      </c>
      <c r="C14" s="5" t="s">
        <v>26</v>
      </c>
      <c r="D14" s="5" t="s">
        <v>14</v>
      </c>
      <c r="E14" s="5">
        <v>10</v>
      </c>
      <c r="F14" s="5"/>
      <c r="G14" s="5"/>
    </row>
    <row r="15" spans="2:7" ht="16.5" customHeight="1" x14ac:dyDescent="0.15">
      <c r="B15" s="5">
        <v>2604021</v>
      </c>
      <c r="C15" s="5" t="s">
        <v>27</v>
      </c>
      <c r="D15" s="5" t="s">
        <v>6</v>
      </c>
      <c r="E15" s="5">
        <v>16</v>
      </c>
      <c r="F15" s="5"/>
      <c r="G15" s="5"/>
    </row>
    <row r="16" spans="2:7" ht="16.5" customHeight="1" x14ac:dyDescent="0.15">
      <c r="B16" s="5">
        <v>2604022</v>
      </c>
      <c r="C16" s="5" t="s">
        <v>28</v>
      </c>
      <c r="D16" s="5" t="s">
        <v>5</v>
      </c>
      <c r="E16" s="5">
        <v>7</v>
      </c>
      <c r="F16" s="5"/>
      <c r="G16" s="5"/>
    </row>
    <row r="17" spans="2:7" ht="16.5" customHeight="1" x14ac:dyDescent="0.15">
      <c r="B17" s="5">
        <v>2604023</v>
      </c>
      <c r="C17" s="5" t="s">
        <v>29</v>
      </c>
      <c r="D17" s="5" t="s">
        <v>12</v>
      </c>
      <c r="E17" s="5">
        <v>14</v>
      </c>
      <c r="F17" s="5"/>
      <c r="G17" s="5"/>
    </row>
    <row r="18" spans="2:7" ht="16.5" customHeight="1" x14ac:dyDescent="0.15">
      <c r="B18" s="5">
        <v>2604024</v>
      </c>
      <c r="C18" s="5" t="s">
        <v>30</v>
      </c>
      <c r="D18" s="5" t="s">
        <v>15</v>
      </c>
      <c r="E18" s="5">
        <v>5</v>
      </c>
      <c r="F18" s="5"/>
      <c r="G18" s="5"/>
    </row>
    <row r="19" spans="2:7" ht="16.5" customHeight="1" x14ac:dyDescent="0.15">
      <c r="B19" s="5">
        <v>2604025</v>
      </c>
      <c r="C19" s="5" t="s">
        <v>31</v>
      </c>
      <c r="D19" s="5" t="s">
        <v>14</v>
      </c>
      <c r="E19" s="5">
        <v>19</v>
      </c>
      <c r="F19" s="5"/>
      <c r="G19" s="5"/>
    </row>
    <row r="20" spans="2:7" ht="16.5" customHeight="1" x14ac:dyDescent="0.15">
      <c r="B20" s="5">
        <v>2604026</v>
      </c>
      <c r="C20" s="5" t="s">
        <v>32</v>
      </c>
      <c r="D20" s="5" t="s">
        <v>6</v>
      </c>
      <c r="E20" s="5">
        <v>3</v>
      </c>
      <c r="F20" s="5"/>
      <c r="G20" s="5"/>
    </row>
    <row r="21" spans="2:7" ht="16.5" customHeight="1" x14ac:dyDescent="0.15">
      <c r="B21" s="5">
        <v>2604027</v>
      </c>
      <c r="C21" s="5" t="s">
        <v>33</v>
      </c>
      <c r="D21" s="5" t="s">
        <v>5</v>
      </c>
      <c r="E21" s="5">
        <v>12</v>
      </c>
      <c r="F21" s="5"/>
      <c r="G21" s="5"/>
    </row>
    <row r="22" spans="2:7" ht="16.5" customHeight="1" x14ac:dyDescent="0.15">
      <c r="B22" s="5">
        <v>2604028</v>
      </c>
      <c r="C22" s="5" t="s">
        <v>34</v>
      </c>
      <c r="D22" s="5" t="s">
        <v>12</v>
      </c>
      <c r="E22" s="5">
        <v>8</v>
      </c>
      <c r="F22" s="5"/>
      <c r="G22" s="5"/>
    </row>
    <row r="23" spans="2:7" ht="16.5" customHeight="1" x14ac:dyDescent="0.15">
      <c r="B23" s="5">
        <v>2604029</v>
      </c>
      <c r="C23" s="5" t="s">
        <v>35</v>
      </c>
      <c r="D23" s="5" t="s">
        <v>15</v>
      </c>
      <c r="E23" s="5">
        <v>17</v>
      </c>
      <c r="F23" s="5"/>
      <c r="G23" s="5"/>
    </row>
    <row r="24" spans="2:7" ht="16.5" customHeight="1" x14ac:dyDescent="0.15">
      <c r="B24" s="5">
        <v>2604030</v>
      </c>
      <c r="C24" s="5" t="s">
        <v>36</v>
      </c>
      <c r="D24" s="5" t="s">
        <v>14</v>
      </c>
      <c r="E24" s="5">
        <v>6</v>
      </c>
      <c r="F24" s="5"/>
      <c r="G24" s="5"/>
    </row>
    <row r="25" spans="2:7" ht="16.5" customHeight="1" x14ac:dyDescent="0.15">
      <c r="B25" s="5">
        <v>2604031</v>
      </c>
      <c r="C25" s="5" t="s">
        <v>37</v>
      </c>
      <c r="D25" s="5" t="s">
        <v>6</v>
      </c>
      <c r="E25" s="5">
        <v>11</v>
      </c>
      <c r="F25" s="5"/>
      <c r="G25" s="5"/>
    </row>
    <row r="26" spans="2:7" ht="16.5" customHeight="1" x14ac:dyDescent="0.15">
      <c r="B26" s="5">
        <v>2604031</v>
      </c>
      <c r="C26" s="5" t="s">
        <v>38</v>
      </c>
      <c r="D26" s="5" t="s">
        <v>5</v>
      </c>
      <c r="E26" s="5">
        <v>9</v>
      </c>
      <c r="F26" s="5"/>
      <c r="G26" s="5"/>
    </row>
    <row r="27" spans="2:7" ht="16.5" customHeight="1" x14ac:dyDescent="0.15">
      <c r="B27" s="5">
        <v>2604031</v>
      </c>
      <c r="C27" s="5" t="s">
        <v>39</v>
      </c>
      <c r="D27" s="5" t="s">
        <v>12</v>
      </c>
      <c r="E27" s="5">
        <v>20</v>
      </c>
      <c r="F27" s="5"/>
      <c r="G27" s="5"/>
    </row>
    <row r="28" spans="2:7" ht="16.5" customHeight="1" x14ac:dyDescent="0.15">
      <c r="B28" s="5">
        <v>2604034</v>
      </c>
      <c r="C28" s="5" t="s">
        <v>40</v>
      </c>
      <c r="D28" s="5" t="s">
        <v>15</v>
      </c>
      <c r="E28" s="5">
        <v>7</v>
      </c>
      <c r="F28" s="5"/>
      <c r="G28" s="5"/>
    </row>
  </sheetData>
  <mergeCells count="1">
    <mergeCell ref="B2:G2"/>
  </mergeCells>
  <phoneticPr fontId="1"/>
  <pageMargins left="0.25" right="0.25" top="0.5" bottom="0.5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4"/>
  <sheetViews>
    <sheetView workbookViewId="0"/>
  </sheetViews>
  <sheetFormatPr defaultRowHeight="17.25" customHeight="1" x14ac:dyDescent="0.15"/>
  <cols>
    <col min="1" max="1" width="7.125" style="2" customWidth="1"/>
    <col min="2" max="5" width="13.375" style="2" customWidth="1"/>
    <col min="6" max="16384" width="9" style="2"/>
  </cols>
  <sheetData>
    <row r="2" spans="1:5" ht="22.5" customHeight="1" x14ac:dyDescent="0.15">
      <c r="A2" s="11" t="s">
        <v>64</v>
      </c>
      <c r="B2" s="11"/>
      <c r="C2" s="11"/>
      <c r="D2" s="11"/>
      <c r="E2" s="11"/>
    </row>
    <row r="3" spans="1:5" ht="17.25" customHeight="1" x14ac:dyDescent="0.15">
      <c r="A3" s="6" t="s">
        <v>0</v>
      </c>
      <c r="B3" s="6" t="s">
        <v>7</v>
      </c>
      <c r="C3" s="6" t="s">
        <v>43</v>
      </c>
      <c r="D3" s="6" t="s">
        <v>8</v>
      </c>
      <c r="E3" s="6" t="s">
        <v>9</v>
      </c>
    </row>
    <row r="4" spans="1:5" ht="17.25" customHeight="1" x14ac:dyDescent="0.15">
      <c r="A4" s="7">
        <v>1</v>
      </c>
      <c r="B4" s="7" t="s">
        <v>17</v>
      </c>
      <c r="C4" s="7" t="s">
        <v>44</v>
      </c>
      <c r="D4" s="7">
        <v>6</v>
      </c>
      <c r="E4" s="8"/>
    </row>
    <row r="5" spans="1:5" ht="17.25" customHeight="1" x14ac:dyDescent="0.15">
      <c r="A5" s="7">
        <v>2</v>
      </c>
      <c r="B5" s="7" t="s">
        <v>18</v>
      </c>
      <c r="C5" s="7" t="s">
        <v>45</v>
      </c>
      <c r="D5" s="7">
        <v>3</v>
      </c>
      <c r="E5" s="8"/>
    </row>
    <row r="6" spans="1:5" ht="17.25" customHeight="1" x14ac:dyDescent="0.15">
      <c r="A6" s="7">
        <v>3</v>
      </c>
      <c r="B6" s="7" t="s">
        <v>19</v>
      </c>
      <c r="C6" s="7" t="s">
        <v>46</v>
      </c>
      <c r="D6" s="7">
        <v>8</v>
      </c>
      <c r="E6" s="8"/>
    </row>
    <row r="7" spans="1:5" ht="17.25" customHeight="1" x14ac:dyDescent="0.15">
      <c r="A7" s="7">
        <v>4</v>
      </c>
      <c r="B7" s="7" t="s">
        <v>20</v>
      </c>
      <c r="C7" s="7" t="s">
        <v>47</v>
      </c>
      <c r="D7" s="7">
        <v>4</v>
      </c>
      <c r="E7" s="8"/>
    </row>
    <row r="8" spans="1:5" ht="17.25" customHeight="1" x14ac:dyDescent="0.15">
      <c r="A8" s="7">
        <v>5</v>
      </c>
      <c r="B8" s="7" t="s">
        <v>21</v>
      </c>
      <c r="C8" s="7" t="s">
        <v>48</v>
      </c>
      <c r="D8" s="7">
        <v>5</v>
      </c>
      <c r="E8" s="8"/>
    </row>
    <row r="9" spans="1:5" ht="17.25" customHeight="1" x14ac:dyDescent="0.15">
      <c r="A9" s="7">
        <v>6</v>
      </c>
      <c r="B9" s="7" t="s">
        <v>22</v>
      </c>
      <c r="C9" s="7" t="s">
        <v>49</v>
      </c>
      <c r="D9" s="7">
        <v>2</v>
      </c>
      <c r="E9" s="8"/>
    </row>
    <row r="10" spans="1:5" ht="17.25" customHeight="1" x14ac:dyDescent="0.15">
      <c r="A10" s="7">
        <v>7</v>
      </c>
      <c r="B10" s="7" t="s">
        <v>23</v>
      </c>
      <c r="C10" s="7" t="s">
        <v>50</v>
      </c>
      <c r="D10" s="7">
        <v>7</v>
      </c>
      <c r="E10" s="8"/>
    </row>
    <row r="11" spans="1:5" ht="17.25" customHeight="1" x14ac:dyDescent="0.15">
      <c r="A11" s="7">
        <v>8</v>
      </c>
      <c r="B11" s="7" t="s">
        <v>24</v>
      </c>
      <c r="C11" s="7" t="s">
        <v>51</v>
      </c>
      <c r="D11" s="7">
        <v>1</v>
      </c>
      <c r="E11" s="8"/>
    </row>
    <row r="12" spans="1:5" ht="17.25" customHeight="1" x14ac:dyDescent="0.15">
      <c r="A12" s="7">
        <v>9</v>
      </c>
      <c r="B12" s="7" t="s">
        <v>25</v>
      </c>
      <c r="C12" s="7" t="s">
        <v>52</v>
      </c>
      <c r="D12" s="7">
        <v>9</v>
      </c>
      <c r="E12" s="8"/>
    </row>
    <row r="13" spans="1:5" ht="17.25" customHeight="1" x14ac:dyDescent="0.15">
      <c r="A13" s="7">
        <v>10</v>
      </c>
      <c r="B13" s="7" t="s">
        <v>26</v>
      </c>
      <c r="C13" s="7" t="s">
        <v>53</v>
      </c>
      <c r="D13" s="7">
        <v>4</v>
      </c>
      <c r="E13" s="8"/>
    </row>
    <row r="14" spans="1:5" ht="17.25" customHeight="1" x14ac:dyDescent="0.15">
      <c r="A14" s="7">
        <v>11</v>
      </c>
      <c r="B14" s="7" t="s">
        <v>27</v>
      </c>
      <c r="C14" s="7" t="s">
        <v>54</v>
      </c>
      <c r="D14" s="7">
        <v>6</v>
      </c>
      <c r="E14" s="8"/>
    </row>
    <row r="15" spans="1:5" ht="17.25" customHeight="1" x14ac:dyDescent="0.15">
      <c r="A15" s="7">
        <v>12</v>
      </c>
      <c r="B15" s="7" t="s">
        <v>28</v>
      </c>
      <c r="C15" s="7" t="s">
        <v>55</v>
      </c>
      <c r="D15" s="7">
        <v>3</v>
      </c>
      <c r="E15" s="8"/>
    </row>
    <row r="16" spans="1:5" ht="17.25" customHeight="1" x14ac:dyDescent="0.15">
      <c r="A16" s="7">
        <v>13</v>
      </c>
      <c r="B16" s="7" t="s">
        <v>29</v>
      </c>
      <c r="C16" s="7" t="s">
        <v>56</v>
      </c>
      <c r="D16" s="7">
        <v>5</v>
      </c>
      <c r="E16" s="8"/>
    </row>
    <row r="17" spans="1:5" ht="17.25" customHeight="1" x14ac:dyDescent="0.15">
      <c r="A17" s="7">
        <v>14</v>
      </c>
      <c r="B17" s="7" t="s">
        <v>30</v>
      </c>
      <c r="C17" s="7" t="s">
        <v>57</v>
      </c>
      <c r="D17" s="7">
        <v>2</v>
      </c>
      <c r="E17" s="8"/>
    </row>
    <row r="18" spans="1:5" ht="17.25" customHeight="1" x14ac:dyDescent="0.15">
      <c r="A18" s="7">
        <v>15</v>
      </c>
      <c r="B18" s="7" t="s">
        <v>31</v>
      </c>
      <c r="C18" s="7" t="s">
        <v>58</v>
      </c>
      <c r="D18" s="7">
        <v>8</v>
      </c>
      <c r="E18" s="8"/>
    </row>
    <row r="19" spans="1:5" ht="17.25" customHeight="1" x14ac:dyDescent="0.15">
      <c r="A19" s="7">
        <v>16</v>
      </c>
      <c r="B19" s="7" t="s">
        <v>32</v>
      </c>
      <c r="C19" s="7" t="s">
        <v>59</v>
      </c>
      <c r="D19" s="7">
        <v>4</v>
      </c>
      <c r="E19" s="8"/>
    </row>
    <row r="20" spans="1:5" ht="17.25" customHeight="1" x14ac:dyDescent="0.15">
      <c r="A20" s="7">
        <v>17</v>
      </c>
      <c r="B20" s="7" t="s">
        <v>33</v>
      </c>
      <c r="C20" s="7" t="s">
        <v>60</v>
      </c>
      <c r="D20" s="7">
        <v>7</v>
      </c>
      <c r="E20" s="8"/>
    </row>
    <row r="21" spans="1:5" ht="17.25" customHeight="1" x14ac:dyDescent="0.15">
      <c r="A21" s="7">
        <v>18</v>
      </c>
      <c r="B21" s="7" t="s">
        <v>34</v>
      </c>
      <c r="C21" s="7" t="s">
        <v>61</v>
      </c>
      <c r="D21" s="7">
        <v>1</v>
      </c>
      <c r="E21" s="8"/>
    </row>
    <row r="22" spans="1:5" ht="17.25" customHeight="1" x14ac:dyDescent="0.15">
      <c r="A22" s="7">
        <v>19</v>
      </c>
      <c r="B22" s="7" t="s">
        <v>35</v>
      </c>
      <c r="C22" s="7" t="s">
        <v>62</v>
      </c>
      <c r="D22" s="7">
        <v>6</v>
      </c>
      <c r="E22" s="8"/>
    </row>
    <row r="23" spans="1:5" ht="17.25" customHeight="1" x14ac:dyDescent="0.15">
      <c r="A23" s="7">
        <v>20</v>
      </c>
      <c r="B23" s="7" t="s">
        <v>36</v>
      </c>
      <c r="C23" s="7" t="s">
        <v>63</v>
      </c>
      <c r="D23" s="7">
        <v>5</v>
      </c>
      <c r="E23" s="8"/>
    </row>
    <row r="24" spans="1:5" ht="17.25" customHeight="1" x14ac:dyDescent="0.15">
      <c r="E24" s="3"/>
    </row>
  </sheetData>
  <phoneticPr fontId="1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workbookViewId="0"/>
  </sheetViews>
  <sheetFormatPr defaultRowHeight="16.5" customHeight="1" x14ac:dyDescent="0.15"/>
  <cols>
    <col min="1" max="1" width="9" style="2"/>
    <col min="2" max="2" width="20.25" style="2" bestFit="1" customWidth="1"/>
    <col min="3" max="3" width="12.125" style="2" bestFit="1" customWidth="1"/>
    <col min="4" max="4" width="10" style="2" customWidth="1"/>
    <col min="5" max="5" width="9" style="2"/>
    <col min="6" max="6" width="15.5" style="2" customWidth="1"/>
    <col min="7" max="7" width="10.75" style="2" customWidth="1"/>
    <col min="8" max="9" width="11.625" style="2" customWidth="1"/>
    <col min="10" max="10" width="13.875" style="2" customWidth="1"/>
    <col min="11" max="16384" width="9" style="2"/>
  </cols>
  <sheetData>
    <row r="1" spans="1:10" ht="25.5" customHeight="1" x14ac:dyDescent="0.15">
      <c r="A1" s="33" t="s">
        <v>116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6.5" customHeight="1" x14ac:dyDescent="0.15">
      <c r="A2" s="10"/>
      <c r="B2" s="9"/>
    </row>
    <row r="3" spans="1:10" s="1" customFormat="1" ht="26.25" customHeight="1" x14ac:dyDescent="0.15">
      <c r="D3" s="35" t="s">
        <v>187</v>
      </c>
      <c r="E3" s="37">
        <v>1.05</v>
      </c>
      <c r="J3"/>
    </row>
    <row r="5" spans="1:10" ht="18.75" customHeight="1" x14ac:dyDescent="0.15">
      <c r="A5" s="35" t="s">
        <v>179</v>
      </c>
      <c r="B5" s="35" t="s">
        <v>180</v>
      </c>
      <c r="C5" s="35" t="s">
        <v>181</v>
      </c>
      <c r="D5" s="35" t="s">
        <v>182</v>
      </c>
      <c r="E5" s="35" t="s">
        <v>183</v>
      </c>
      <c r="F5" s="35" t="s">
        <v>178</v>
      </c>
      <c r="G5" s="35" t="s">
        <v>184</v>
      </c>
      <c r="H5" s="35" t="s">
        <v>185</v>
      </c>
      <c r="I5" s="35" t="s">
        <v>188</v>
      </c>
      <c r="J5" s="36" t="s">
        <v>189</v>
      </c>
    </row>
    <row r="6" spans="1:10" ht="16.5" customHeight="1" x14ac:dyDescent="0.15">
      <c r="A6" s="38">
        <v>1</v>
      </c>
      <c r="B6" s="38" t="s">
        <v>65</v>
      </c>
      <c r="C6" s="38" t="s">
        <v>169</v>
      </c>
      <c r="D6" s="38">
        <v>120</v>
      </c>
      <c r="E6" s="39">
        <v>0.08</v>
      </c>
      <c r="F6" s="40"/>
      <c r="G6" s="42">
        <v>380</v>
      </c>
      <c r="H6" s="42">
        <v>50</v>
      </c>
      <c r="I6" s="42">
        <f>G6*H6</f>
        <v>19000</v>
      </c>
      <c r="J6" s="42"/>
    </row>
    <row r="7" spans="1:10" ht="16.5" customHeight="1" x14ac:dyDescent="0.15">
      <c r="A7" s="38">
        <v>2</v>
      </c>
      <c r="B7" s="38" t="s">
        <v>66</v>
      </c>
      <c r="C7" s="38" t="s">
        <v>169</v>
      </c>
      <c r="D7" s="38">
        <v>85</v>
      </c>
      <c r="E7" s="41">
        <v>0.18</v>
      </c>
      <c r="F7" s="40"/>
      <c r="G7" s="42">
        <v>420</v>
      </c>
      <c r="H7" s="42">
        <v>40</v>
      </c>
      <c r="I7" s="42">
        <f t="shared" ref="I7:I35" si="0">G7*H7</f>
        <v>16800</v>
      </c>
      <c r="J7" s="42"/>
    </row>
    <row r="8" spans="1:10" ht="16.5" customHeight="1" x14ac:dyDescent="0.15">
      <c r="A8" s="38">
        <v>3</v>
      </c>
      <c r="B8" s="38" t="s">
        <v>67</v>
      </c>
      <c r="C8" s="38" t="s">
        <v>68</v>
      </c>
      <c r="D8" s="38">
        <v>65</v>
      </c>
      <c r="E8" s="41">
        <v>0.16</v>
      </c>
      <c r="F8" s="40"/>
      <c r="G8" s="42">
        <v>560</v>
      </c>
      <c r="H8" s="42">
        <v>30</v>
      </c>
      <c r="I8" s="42">
        <f t="shared" si="0"/>
        <v>16800</v>
      </c>
      <c r="J8" s="42"/>
    </row>
    <row r="9" spans="1:10" ht="16.5" customHeight="1" x14ac:dyDescent="0.15">
      <c r="A9" s="38">
        <v>4</v>
      </c>
      <c r="B9" s="38" t="s">
        <v>70</v>
      </c>
      <c r="C9" s="38" t="s">
        <v>68</v>
      </c>
      <c r="D9" s="38">
        <v>48</v>
      </c>
      <c r="E9" s="41">
        <v>0.22</v>
      </c>
      <c r="F9" s="40"/>
      <c r="G9" s="42">
        <v>680</v>
      </c>
      <c r="H9" s="42">
        <v>25</v>
      </c>
      <c r="I9" s="42">
        <f t="shared" si="0"/>
        <v>17000</v>
      </c>
      <c r="J9" s="42"/>
    </row>
    <row r="10" spans="1:10" ht="16.5" customHeight="1" x14ac:dyDescent="0.15">
      <c r="A10" s="38">
        <v>5</v>
      </c>
      <c r="B10" s="38" t="s">
        <v>69</v>
      </c>
      <c r="C10" s="38" t="s">
        <v>68</v>
      </c>
      <c r="D10" s="38">
        <v>102</v>
      </c>
      <c r="E10" s="41">
        <v>0.12</v>
      </c>
      <c r="F10" s="40"/>
      <c r="G10" s="42">
        <v>520</v>
      </c>
      <c r="H10" s="42">
        <v>40</v>
      </c>
      <c r="I10" s="42">
        <f t="shared" si="0"/>
        <v>20800</v>
      </c>
      <c r="J10" s="42"/>
    </row>
    <row r="11" spans="1:10" ht="16.5" customHeight="1" x14ac:dyDescent="0.15">
      <c r="A11" s="38">
        <v>6</v>
      </c>
      <c r="B11" s="38" t="s">
        <v>71</v>
      </c>
      <c r="C11" s="38" t="s">
        <v>170</v>
      </c>
      <c r="D11" s="38">
        <v>140</v>
      </c>
      <c r="E11" s="41">
        <v>0.3</v>
      </c>
      <c r="F11" s="40"/>
      <c r="G11" s="42">
        <v>860</v>
      </c>
      <c r="H11" s="42">
        <v>20</v>
      </c>
      <c r="I11" s="42">
        <f t="shared" si="0"/>
        <v>17200</v>
      </c>
      <c r="J11" s="42"/>
    </row>
    <row r="12" spans="1:10" ht="16.5" customHeight="1" x14ac:dyDescent="0.15">
      <c r="A12" s="38">
        <v>7</v>
      </c>
      <c r="B12" s="38" t="s">
        <v>171</v>
      </c>
      <c r="C12" s="38" t="s">
        <v>170</v>
      </c>
      <c r="D12" s="38">
        <v>55</v>
      </c>
      <c r="E12" s="41">
        <v>0.09</v>
      </c>
      <c r="F12" s="40"/>
      <c r="G12" s="42">
        <v>2850</v>
      </c>
      <c r="H12" s="42">
        <v>15</v>
      </c>
      <c r="I12" s="42">
        <f t="shared" si="0"/>
        <v>42750</v>
      </c>
      <c r="J12" s="42"/>
    </row>
    <row r="13" spans="1:10" ht="16.5" customHeight="1" x14ac:dyDescent="0.15">
      <c r="A13" s="38">
        <v>8</v>
      </c>
      <c r="B13" s="38" t="s">
        <v>72</v>
      </c>
      <c r="C13" s="38" t="s">
        <v>73</v>
      </c>
      <c r="D13" s="38">
        <v>98</v>
      </c>
      <c r="E13" s="41">
        <v>0.14000000000000001</v>
      </c>
      <c r="F13" s="40"/>
      <c r="G13" s="42">
        <v>620</v>
      </c>
      <c r="H13" s="42">
        <v>30</v>
      </c>
      <c r="I13" s="42">
        <f t="shared" si="0"/>
        <v>18600</v>
      </c>
      <c r="J13" s="42"/>
    </row>
    <row r="14" spans="1:10" ht="16.5" customHeight="1" x14ac:dyDescent="0.15">
      <c r="A14" s="38">
        <v>9</v>
      </c>
      <c r="B14" s="38" t="s">
        <v>74</v>
      </c>
      <c r="C14" s="38" t="s">
        <v>73</v>
      </c>
      <c r="D14" s="38">
        <v>70</v>
      </c>
      <c r="E14" s="41">
        <v>0.21</v>
      </c>
      <c r="F14" s="40"/>
      <c r="G14" s="42">
        <v>740</v>
      </c>
      <c r="H14" s="42">
        <v>25</v>
      </c>
      <c r="I14" s="42">
        <f t="shared" si="0"/>
        <v>18500</v>
      </c>
      <c r="J14" s="42"/>
    </row>
    <row r="15" spans="1:10" ht="16.5" customHeight="1" x14ac:dyDescent="0.15">
      <c r="A15" s="38">
        <v>10</v>
      </c>
      <c r="B15" s="38" t="s">
        <v>75</v>
      </c>
      <c r="C15" s="38" t="s">
        <v>76</v>
      </c>
      <c r="D15" s="38">
        <v>112</v>
      </c>
      <c r="E15" s="41">
        <v>0.16</v>
      </c>
      <c r="F15" s="40"/>
      <c r="G15" s="42">
        <v>410</v>
      </c>
      <c r="H15" s="42">
        <v>35</v>
      </c>
      <c r="I15" s="42">
        <f t="shared" si="0"/>
        <v>14350</v>
      </c>
      <c r="J15" s="42"/>
    </row>
    <row r="16" spans="1:10" ht="16.5" customHeight="1" x14ac:dyDescent="0.15">
      <c r="A16" s="38">
        <v>11</v>
      </c>
      <c r="B16" s="38" t="s">
        <v>77</v>
      </c>
      <c r="C16" s="38" t="s">
        <v>78</v>
      </c>
      <c r="D16" s="38">
        <v>92</v>
      </c>
      <c r="E16" s="41">
        <v>0.11</v>
      </c>
      <c r="F16" s="40"/>
      <c r="G16" s="42">
        <v>530</v>
      </c>
      <c r="H16" s="42">
        <v>28</v>
      </c>
      <c r="I16" s="42">
        <f t="shared" si="0"/>
        <v>14840</v>
      </c>
      <c r="J16" s="42"/>
    </row>
    <row r="17" spans="1:10" ht="16.5" customHeight="1" x14ac:dyDescent="0.15">
      <c r="A17" s="38">
        <v>12</v>
      </c>
      <c r="B17" s="38" t="s">
        <v>79</v>
      </c>
      <c r="C17" s="38" t="s">
        <v>78</v>
      </c>
      <c r="D17" s="38">
        <v>135</v>
      </c>
      <c r="E17" s="41">
        <v>0.25</v>
      </c>
      <c r="F17" s="40"/>
      <c r="G17" s="42">
        <v>320</v>
      </c>
      <c r="H17" s="42">
        <v>40</v>
      </c>
      <c r="I17" s="42">
        <f t="shared" si="0"/>
        <v>12800</v>
      </c>
      <c r="J17" s="42"/>
    </row>
    <row r="18" spans="1:10" ht="16.5" customHeight="1" x14ac:dyDescent="0.15">
      <c r="A18" s="38">
        <v>13</v>
      </c>
      <c r="B18" s="38" t="s">
        <v>80</v>
      </c>
      <c r="C18" s="38" t="s">
        <v>172</v>
      </c>
      <c r="D18" s="38">
        <v>75</v>
      </c>
      <c r="E18" s="41">
        <v>0.13</v>
      </c>
      <c r="F18" s="40"/>
      <c r="G18" s="42">
        <v>690</v>
      </c>
      <c r="H18" s="42">
        <v>24</v>
      </c>
      <c r="I18" s="42">
        <f t="shared" si="0"/>
        <v>16560</v>
      </c>
      <c r="J18" s="42"/>
    </row>
    <row r="19" spans="1:10" ht="16.5" customHeight="1" x14ac:dyDescent="0.15">
      <c r="A19" s="38">
        <v>14</v>
      </c>
      <c r="B19" s="38" t="s">
        <v>81</v>
      </c>
      <c r="C19" s="38" t="s">
        <v>172</v>
      </c>
      <c r="D19" s="38">
        <v>88</v>
      </c>
      <c r="E19" s="41">
        <v>0.19</v>
      </c>
      <c r="F19" s="40"/>
      <c r="G19" s="42">
        <v>510</v>
      </c>
      <c r="H19" s="42">
        <v>30</v>
      </c>
      <c r="I19" s="42">
        <f t="shared" si="0"/>
        <v>15300</v>
      </c>
      <c r="J19" s="42"/>
    </row>
    <row r="20" spans="1:10" ht="16.5" customHeight="1" x14ac:dyDescent="0.15">
      <c r="A20" s="38">
        <v>15</v>
      </c>
      <c r="B20" s="38" t="s">
        <v>82</v>
      </c>
      <c r="C20" s="38" t="s">
        <v>83</v>
      </c>
      <c r="D20" s="38">
        <v>42</v>
      </c>
      <c r="E20" s="41">
        <v>0.16</v>
      </c>
      <c r="F20" s="40"/>
      <c r="G20" s="42">
        <v>980</v>
      </c>
      <c r="H20" s="42">
        <v>18</v>
      </c>
      <c r="I20" s="42">
        <f t="shared" si="0"/>
        <v>17640</v>
      </c>
      <c r="J20" s="42"/>
    </row>
    <row r="21" spans="1:10" ht="16.5" customHeight="1" x14ac:dyDescent="0.15">
      <c r="A21" s="38">
        <v>16</v>
      </c>
      <c r="B21" s="38" t="s">
        <v>84</v>
      </c>
      <c r="C21" s="38" t="s">
        <v>85</v>
      </c>
      <c r="D21" s="38">
        <v>61</v>
      </c>
      <c r="E21" s="41">
        <v>0.05</v>
      </c>
      <c r="F21" s="40"/>
      <c r="G21" s="42">
        <v>1250</v>
      </c>
      <c r="H21" s="42">
        <v>15</v>
      </c>
      <c r="I21" s="42">
        <f t="shared" si="0"/>
        <v>18750</v>
      </c>
      <c r="J21" s="42"/>
    </row>
    <row r="22" spans="1:10" ht="16.5" customHeight="1" x14ac:dyDescent="0.15">
      <c r="A22" s="38">
        <v>17</v>
      </c>
      <c r="B22" s="38" t="s">
        <v>86</v>
      </c>
      <c r="C22" s="38" t="s">
        <v>85</v>
      </c>
      <c r="D22" s="38">
        <v>58</v>
      </c>
      <c r="E22" s="41">
        <v>0.21</v>
      </c>
      <c r="F22" s="40"/>
      <c r="G22" s="42">
        <v>1680</v>
      </c>
      <c r="H22" s="42">
        <v>12</v>
      </c>
      <c r="I22" s="42">
        <f t="shared" si="0"/>
        <v>20160</v>
      </c>
      <c r="J22" s="42"/>
    </row>
    <row r="23" spans="1:10" ht="16.5" customHeight="1" x14ac:dyDescent="0.15">
      <c r="A23" s="38">
        <v>18</v>
      </c>
      <c r="B23" s="38" t="s">
        <v>87</v>
      </c>
      <c r="C23" s="38" t="s">
        <v>173</v>
      </c>
      <c r="D23" s="38">
        <v>84</v>
      </c>
      <c r="E23" s="41">
        <v>0.13</v>
      </c>
      <c r="F23" s="40"/>
      <c r="G23" s="42">
        <v>480</v>
      </c>
      <c r="H23" s="42">
        <v>22</v>
      </c>
      <c r="I23" s="42">
        <f t="shared" si="0"/>
        <v>10560</v>
      </c>
      <c r="J23" s="42"/>
    </row>
    <row r="24" spans="1:10" ht="16.5" customHeight="1" x14ac:dyDescent="0.15">
      <c r="A24" s="38">
        <v>19</v>
      </c>
      <c r="B24" s="38" t="s">
        <v>88</v>
      </c>
      <c r="C24" s="38" t="s">
        <v>89</v>
      </c>
      <c r="D24" s="38">
        <v>79</v>
      </c>
      <c r="E24" s="41">
        <v>0.08</v>
      </c>
      <c r="F24" s="40"/>
      <c r="G24" s="42">
        <v>570</v>
      </c>
      <c r="H24" s="42">
        <v>25</v>
      </c>
      <c r="I24" s="42">
        <f t="shared" si="0"/>
        <v>14250</v>
      </c>
      <c r="J24" s="42"/>
    </row>
    <row r="25" spans="1:10" ht="16.5" customHeight="1" x14ac:dyDescent="0.15">
      <c r="A25" s="38">
        <v>20</v>
      </c>
      <c r="B25" s="38" t="s">
        <v>90</v>
      </c>
      <c r="C25" s="38" t="s">
        <v>91</v>
      </c>
      <c r="D25" s="38">
        <v>95</v>
      </c>
      <c r="E25" s="41">
        <v>0.27</v>
      </c>
      <c r="F25" s="40"/>
      <c r="G25" s="42">
        <v>840</v>
      </c>
      <c r="H25" s="42">
        <v>20</v>
      </c>
      <c r="I25" s="42">
        <f t="shared" si="0"/>
        <v>16800</v>
      </c>
      <c r="J25" s="42"/>
    </row>
    <row r="26" spans="1:10" ht="16.5" customHeight="1" x14ac:dyDescent="0.15">
      <c r="A26" s="38">
        <v>21</v>
      </c>
      <c r="B26" s="38" t="s">
        <v>174</v>
      </c>
      <c r="C26" s="38" t="s">
        <v>92</v>
      </c>
      <c r="D26" s="38">
        <v>145</v>
      </c>
      <c r="E26" s="41">
        <v>0.33</v>
      </c>
      <c r="F26" s="40"/>
      <c r="G26" s="42">
        <v>260</v>
      </c>
      <c r="H26" s="42">
        <v>50</v>
      </c>
      <c r="I26" s="42">
        <f t="shared" si="0"/>
        <v>13000</v>
      </c>
      <c r="J26" s="42"/>
    </row>
    <row r="27" spans="1:10" ht="16.5" customHeight="1" x14ac:dyDescent="0.15">
      <c r="A27" s="38">
        <v>22</v>
      </c>
      <c r="B27" s="38" t="s">
        <v>93</v>
      </c>
      <c r="C27" s="38" t="s">
        <v>92</v>
      </c>
      <c r="D27" s="38">
        <v>110</v>
      </c>
      <c r="E27" s="41">
        <v>0.17</v>
      </c>
      <c r="F27" s="40"/>
      <c r="G27" s="42">
        <v>340</v>
      </c>
      <c r="H27" s="42">
        <v>35</v>
      </c>
      <c r="I27" s="42">
        <f t="shared" si="0"/>
        <v>11900</v>
      </c>
      <c r="J27" s="42"/>
    </row>
    <row r="28" spans="1:10" ht="16.5" customHeight="1" x14ac:dyDescent="0.15">
      <c r="A28" s="38">
        <v>23</v>
      </c>
      <c r="B28" s="38" t="s">
        <v>95</v>
      </c>
      <c r="C28" s="38" t="s">
        <v>94</v>
      </c>
      <c r="D28" s="38">
        <v>156</v>
      </c>
      <c r="E28" s="41">
        <v>0.06</v>
      </c>
      <c r="F28" s="40"/>
      <c r="G28" s="42">
        <v>180</v>
      </c>
      <c r="H28" s="42">
        <v>60</v>
      </c>
      <c r="I28" s="42">
        <f t="shared" si="0"/>
        <v>10800</v>
      </c>
      <c r="J28" s="42"/>
    </row>
    <row r="29" spans="1:10" ht="16.5" customHeight="1" x14ac:dyDescent="0.15">
      <c r="A29" s="38">
        <v>24</v>
      </c>
      <c r="B29" s="38" t="s">
        <v>175</v>
      </c>
      <c r="C29" s="38" t="s">
        <v>94</v>
      </c>
      <c r="D29" s="38">
        <v>97</v>
      </c>
      <c r="E29" s="41">
        <v>0.24</v>
      </c>
      <c r="F29" s="40"/>
      <c r="G29" s="42">
        <v>240</v>
      </c>
      <c r="H29" s="42">
        <v>40</v>
      </c>
      <c r="I29" s="42">
        <f t="shared" si="0"/>
        <v>9600</v>
      </c>
      <c r="J29" s="42"/>
    </row>
    <row r="30" spans="1:10" ht="16.5" customHeight="1" x14ac:dyDescent="0.15">
      <c r="A30" s="38">
        <v>25</v>
      </c>
      <c r="B30" s="38" t="s">
        <v>96</v>
      </c>
      <c r="C30" s="38" t="s">
        <v>176</v>
      </c>
      <c r="D30" s="38">
        <v>72</v>
      </c>
      <c r="E30" s="41">
        <v>0.15</v>
      </c>
      <c r="F30" s="40"/>
      <c r="G30" s="42">
        <v>610</v>
      </c>
      <c r="H30" s="42">
        <v>22</v>
      </c>
      <c r="I30" s="42">
        <f t="shared" si="0"/>
        <v>13420</v>
      </c>
      <c r="J30" s="42"/>
    </row>
    <row r="31" spans="1:10" ht="16.5" customHeight="1" x14ac:dyDescent="0.15">
      <c r="A31" s="38">
        <v>26</v>
      </c>
      <c r="B31" s="38" t="s">
        <v>97</v>
      </c>
      <c r="C31" s="38" t="s">
        <v>98</v>
      </c>
      <c r="D31" s="38">
        <v>104</v>
      </c>
      <c r="E31" s="41">
        <v>0.15</v>
      </c>
      <c r="F31" s="40"/>
      <c r="G31" s="42">
        <v>390</v>
      </c>
      <c r="H31" s="42">
        <v>30</v>
      </c>
      <c r="I31" s="42">
        <f t="shared" si="0"/>
        <v>11700</v>
      </c>
      <c r="J31" s="42"/>
    </row>
    <row r="32" spans="1:10" ht="16.5" customHeight="1" x14ac:dyDescent="0.15">
      <c r="A32" s="38">
        <v>27</v>
      </c>
      <c r="B32" s="38" t="s">
        <v>99</v>
      </c>
      <c r="C32" s="38" t="s">
        <v>100</v>
      </c>
      <c r="D32" s="38">
        <v>68</v>
      </c>
      <c r="E32" s="41">
        <v>0.21</v>
      </c>
      <c r="F32" s="40"/>
      <c r="G32" s="42">
        <v>890</v>
      </c>
      <c r="H32" s="42">
        <v>18</v>
      </c>
      <c r="I32" s="42">
        <f t="shared" si="0"/>
        <v>16020</v>
      </c>
      <c r="J32" s="42"/>
    </row>
    <row r="33" spans="1:10" ht="16.5" customHeight="1" x14ac:dyDescent="0.15">
      <c r="A33" s="38">
        <v>28</v>
      </c>
      <c r="B33" s="38" t="s">
        <v>177</v>
      </c>
      <c r="C33" s="38" t="s">
        <v>100</v>
      </c>
      <c r="D33" s="38">
        <v>54</v>
      </c>
      <c r="E33" s="41">
        <v>0.28000000000000003</v>
      </c>
      <c r="F33" s="40"/>
      <c r="G33" s="42">
        <v>1120</v>
      </c>
      <c r="H33" s="42">
        <v>15</v>
      </c>
      <c r="I33" s="42">
        <f t="shared" si="0"/>
        <v>16800</v>
      </c>
      <c r="J33" s="42"/>
    </row>
    <row r="34" spans="1:10" ht="16.5" customHeight="1" x14ac:dyDescent="0.15">
      <c r="A34" s="38">
        <v>29</v>
      </c>
      <c r="B34" s="38" t="s">
        <v>10</v>
      </c>
      <c r="C34" s="38" t="s">
        <v>101</v>
      </c>
      <c r="D34" s="38">
        <v>170</v>
      </c>
      <c r="E34" s="41">
        <v>7.0000000000000007E-2</v>
      </c>
      <c r="F34" s="40"/>
      <c r="G34" s="42">
        <v>290</v>
      </c>
      <c r="H34" s="42">
        <v>45</v>
      </c>
      <c r="I34" s="42">
        <f t="shared" si="0"/>
        <v>13050</v>
      </c>
      <c r="J34" s="42"/>
    </row>
    <row r="35" spans="1:10" ht="16.5" customHeight="1" x14ac:dyDescent="0.15">
      <c r="A35" s="38">
        <v>30</v>
      </c>
      <c r="B35" s="38" t="s">
        <v>102</v>
      </c>
      <c r="C35" s="38" t="s">
        <v>103</v>
      </c>
      <c r="D35" s="38">
        <v>138</v>
      </c>
      <c r="E35" s="41">
        <v>0.2</v>
      </c>
      <c r="F35" s="40"/>
      <c r="G35" s="42">
        <v>430</v>
      </c>
      <c r="H35" s="42">
        <v>32</v>
      </c>
      <c r="I35" s="42">
        <f t="shared" si="0"/>
        <v>13760</v>
      </c>
      <c r="J35" s="42"/>
    </row>
  </sheetData>
  <phoneticPr fontId="1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9.5" customHeight="1" x14ac:dyDescent="0.15"/>
  <cols>
    <col min="1" max="1" width="9.25" style="2" customWidth="1"/>
    <col min="2" max="2" width="10.5" style="2" bestFit="1" customWidth="1"/>
    <col min="3" max="3" width="11.625" style="2" bestFit="1" customWidth="1"/>
    <col min="4" max="4" width="12.75" style="2" bestFit="1" customWidth="1"/>
    <col min="5" max="5" width="13" style="1" customWidth="1"/>
    <col min="6" max="16384" width="9" style="2"/>
  </cols>
  <sheetData>
    <row r="1" spans="1:5" ht="12.75" customHeight="1" thickBot="1" x14ac:dyDescent="0.2"/>
    <row r="2" spans="1:5" ht="19.5" customHeight="1" thickBot="1" x14ac:dyDescent="0.2">
      <c r="A2" s="44" t="s">
        <v>166</v>
      </c>
      <c r="B2" s="44"/>
      <c r="C2" s="44"/>
      <c r="D2" s="44"/>
      <c r="E2" s="44"/>
    </row>
    <row r="3" spans="1:5" s="1" customFormat="1" ht="24.75" customHeight="1" thickBot="1" x14ac:dyDescent="0.2">
      <c r="A3" s="34" t="s">
        <v>117</v>
      </c>
      <c r="B3" s="34" t="s">
        <v>1</v>
      </c>
      <c r="C3" s="34" t="s">
        <v>16</v>
      </c>
      <c r="D3" s="34" t="s">
        <v>118</v>
      </c>
      <c r="E3" s="34" t="s">
        <v>119</v>
      </c>
    </row>
    <row r="4" spans="1:5" ht="19.5" customHeight="1" x14ac:dyDescent="0.15">
      <c r="A4" s="12" t="s">
        <v>120</v>
      </c>
      <c r="B4" s="12" t="s">
        <v>146</v>
      </c>
      <c r="C4" s="12" t="s">
        <v>113</v>
      </c>
      <c r="D4" s="13" cm="1">
        <f t="array" ref="D4:D23">_xlfn.SEQUENCE(20,,8,0.5)/24</f>
        <v>0.33333333333333331</v>
      </c>
      <c r="E4" s="14" t="s">
        <v>121</v>
      </c>
    </row>
    <row r="5" spans="1:5" ht="19.5" customHeight="1" x14ac:dyDescent="0.15">
      <c r="A5" s="15" t="s">
        <v>122</v>
      </c>
      <c r="B5" s="15" t="s">
        <v>147</v>
      </c>
      <c r="C5" s="15" t="s">
        <v>15</v>
      </c>
      <c r="D5" s="16">
        <v>0.35416666666666669</v>
      </c>
      <c r="E5" s="17" t="s">
        <v>123</v>
      </c>
    </row>
    <row r="6" spans="1:5" ht="19.5" customHeight="1" x14ac:dyDescent="0.15">
      <c r="A6" s="15" t="s">
        <v>124</v>
      </c>
      <c r="B6" s="15" t="s">
        <v>148</v>
      </c>
      <c r="C6" s="15" t="s">
        <v>125</v>
      </c>
      <c r="D6" s="16">
        <v>0.375</v>
      </c>
      <c r="E6" s="17" t="s">
        <v>121</v>
      </c>
    </row>
    <row r="7" spans="1:5" ht="19.5" customHeight="1" x14ac:dyDescent="0.15">
      <c r="A7" s="15" t="s">
        <v>126</v>
      </c>
      <c r="B7" s="15" t="s">
        <v>149</v>
      </c>
      <c r="C7" s="15" t="s">
        <v>113</v>
      </c>
      <c r="D7" s="16">
        <v>0.39583333333333331</v>
      </c>
      <c r="E7" s="17" t="s">
        <v>127</v>
      </c>
    </row>
    <row r="8" spans="1:5" ht="19.5" customHeight="1" x14ac:dyDescent="0.15">
      <c r="A8" s="15" t="s">
        <v>128</v>
      </c>
      <c r="B8" s="15" t="s">
        <v>150</v>
      </c>
      <c r="C8" s="15" t="s">
        <v>15</v>
      </c>
      <c r="D8" s="16">
        <v>0.41666666666666669</v>
      </c>
      <c r="E8" s="17" t="s">
        <v>129</v>
      </c>
    </row>
    <row r="9" spans="1:5" ht="19.5" customHeight="1" x14ac:dyDescent="0.15">
      <c r="A9" s="15" t="s">
        <v>130</v>
      </c>
      <c r="B9" s="15" t="s">
        <v>151</v>
      </c>
      <c r="C9" s="15" t="s">
        <v>125</v>
      </c>
      <c r="D9" s="16">
        <v>0.4375</v>
      </c>
      <c r="E9" s="17" t="s">
        <v>121</v>
      </c>
    </row>
    <row r="10" spans="1:5" ht="19.5" customHeight="1" x14ac:dyDescent="0.15">
      <c r="A10" s="15" t="s">
        <v>131</v>
      </c>
      <c r="B10" s="15" t="s">
        <v>152</v>
      </c>
      <c r="C10" s="15" t="s">
        <v>113</v>
      </c>
      <c r="D10" s="16">
        <v>0.45833333333333331</v>
      </c>
      <c r="E10" s="17" t="s">
        <v>123</v>
      </c>
    </row>
    <row r="11" spans="1:5" ht="19.5" customHeight="1" x14ac:dyDescent="0.15">
      <c r="A11" s="15" t="s">
        <v>132</v>
      </c>
      <c r="B11" s="15" t="s">
        <v>153</v>
      </c>
      <c r="C11" s="15" t="s">
        <v>15</v>
      </c>
      <c r="D11" s="16">
        <v>0.47916666666666669</v>
      </c>
      <c r="E11" s="17" t="s">
        <v>133</v>
      </c>
    </row>
    <row r="12" spans="1:5" ht="19.5" customHeight="1" x14ac:dyDescent="0.15">
      <c r="A12" s="15" t="s">
        <v>134</v>
      </c>
      <c r="B12" s="15" t="s">
        <v>154</v>
      </c>
      <c r="C12" s="15" t="s">
        <v>125</v>
      </c>
      <c r="D12" s="16">
        <v>0.5</v>
      </c>
      <c r="E12" s="17" t="s">
        <v>121</v>
      </c>
    </row>
    <row r="13" spans="1:5" ht="19.5" customHeight="1" x14ac:dyDescent="0.15">
      <c r="A13" s="15" t="s">
        <v>135</v>
      </c>
      <c r="B13" s="15" t="s">
        <v>155</v>
      </c>
      <c r="C13" s="15" t="s">
        <v>113</v>
      </c>
      <c r="D13" s="16">
        <v>0.52083333333333337</v>
      </c>
      <c r="E13" s="17" t="s">
        <v>129</v>
      </c>
    </row>
    <row r="14" spans="1:5" ht="19.5" customHeight="1" x14ac:dyDescent="0.15">
      <c r="A14" s="15" t="s">
        <v>136</v>
      </c>
      <c r="B14" s="15" t="s">
        <v>156</v>
      </c>
      <c r="C14" s="15" t="s">
        <v>15</v>
      </c>
      <c r="D14" s="16">
        <v>0.54166666666666663</v>
      </c>
      <c r="E14" s="17" t="s">
        <v>127</v>
      </c>
    </row>
    <row r="15" spans="1:5" ht="19.5" customHeight="1" x14ac:dyDescent="0.15">
      <c r="A15" s="15" t="s">
        <v>137</v>
      </c>
      <c r="B15" s="15" t="s">
        <v>157</v>
      </c>
      <c r="C15" s="15" t="s">
        <v>125</v>
      </c>
      <c r="D15" s="16">
        <v>0.5625</v>
      </c>
      <c r="E15" s="17" t="s">
        <v>123</v>
      </c>
    </row>
    <row r="16" spans="1:5" ht="19.5" customHeight="1" x14ac:dyDescent="0.15">
      <c r="A16" s="15" t="s">
        <v>138</v>
      </c>
      <c r="B16" s="15" t="s">
        <v>158</v>
      </c>
      <c r="C16" s="15" t="s">
        <v>113</v>
      </c>
      <c r="D16" s="16">
        <v>0.58333333333333337</v>
      </c>
      <c r="E16" s="17" t="s">
        <v>121</v>
      </c>
    </row>
    <row r="17" spans="1:5" ht="19.5" customHeight="1" x14ac:dyDescent="0.15">
      <c r="A17" s="15" t="s">
        <v>139</v>
      </c>
      <c r="B17" s="15" t="s">
        <v>159</v>
      </c>
      <c r="C17" s="15" t="s">
        <v>15</v>
      </c>
      <c r="D17" s="16">
        <v>0.60416666666666663</v>
      </c>
      <c r="E17" s="17" t="s">
        <v>133</v>
      </c>
    </row>
    <row r="18" spans="1:5" ht="19.5" customHeight="1" x14ac:dyDescent="0.15">
      <c r="A18" s="15" t="s">
        <v>140</v>
      </c>
      <c r="B18" s="15" t="s">
        <v>160</v>
      </c>
      <c r="C18" s="15" t="s">
        <v>125</v>
      </c>
      <c r="D18" s="16">
        <v>0.625</v>
      </c>
      <c r="E18" s="17" t="s">
        <v>121</v>
      </c>
    </row>
    <row r="19" spans="1:5" ht="19.5" customHeight="1" x14ac:dyDescent="0.15">
      <c r="A19" s="15" t="s">
        <v>141</v>
      </c>
      <c r="B19" s="15" t="s">
        <v>161</v>
      </c>
      <c r="C19" s="15" t="s">
        <v>113</v>
      </c>
      <c r="D19" s="16">
        <v>0.64583333333333337</v>
      </c>
      <c r="E19" s="17" t="s">
        <v>129</v>
      </c>
    </row>
    <row r="20" spans="1:5" ht="19.5" customHeight="1" x14ac:dyDescent="0.15">
      <c r="A20" s="15" t="s">
        <v>142</v>
      </c>
      <c r="B20" s="15" t="s">
        <v>162</v>
      </c>
      <c r="C20" s="15" t="s">
        <v>15</v>
      </c>
      <c r="D20" s="16">
        <v>0.66666666666666663</v>
      </c>
      <c r="E20" s="17" t="s">
        <v>123</v>
      </c>
    </row>
    <row r="21" spans="1:5" ht="19.5" customHeight="1" x14ac:dyDescent="0.15">
      <c r="A21" s="15" t="s">
        <v>143</v>
      </c>
      <c r="B21" s="15" t="s">
        <v>163</v>
      </c>
      <c r="C21" s="15" t="s">
        <v>125</v>
      </c>
      <c r="D21" s="16">
        <v>0.6875</v>
      </c>
      <c r="E21" s="17" t="s">
        <v>121</v>
      </c>
    </row>
    <row r="22" spans="1:5" ht="19.5" customHeight="1" x14ac:dyDescent="0.15">
      <c r="A22" s="15" t="s">
        <v>144</v>
      </c>
      <c r="B22" s="15" t="s">
        <v>164</v>
      </c>
      <c r="C22" s="15" t="s">
        <v>113</v>
      </c>
      <c r="D22" s="16">
        <v>0.70833333333333337</v>
      </c>
      <c r="E22" s="17" t="s">
        <v>127</v>
      </c>
    </row>
    <row r="23" spans="1:5" ht="19.5" customHeight="1" thickBot="1" x14ac:dyDescent="0.2">
      <c r="A23" s="18" t="s">
        <v>145</v>
      </c>
      <c r="B23" s="18" t="s">
        <v>165</v>
      </c>
      <c r="C23" s="18" t="s">
        <v>15</v>
      </c>
      <c r="D23" s="19">
        <v>0.72916666666666663</v>
      </c>
      <c r="E23" s="20" t="s">
        <v>133</v>
      </c>
    </row>
  </sheetData>
  <mergeCells count="1">
    <mergeCell ref="A2:E2"/>
  </mergeCells>
  <phoneticPr fontId="1"/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9"/>
  <sheetViews>
    <sheetView workbookViewId="0"/>
  </sheetViews>
  <sheetFormatPr defaultRowHeight="14.25" customHeight="1" x14ac:dyDescent="0.15"/>
  <cols>
    <col min="1" max="3" width="14" style="2" customWidth="1"/>
    <col min="4" max="4" width="12.625" style="2" customWidth="1"/>
    <col min="5" max="8" width="14" style="2" customWidth="1"/>
    <col min="9" max="9" width="12.625" style="2" customWidth="1"/>
    <col min="10" max="16384" width="9" style="2"/>
  </cols>
  <sheetData>
    <row r="2" spans="1:9" ht="18.75" x14ac:dyDescent="0.15">
      <c r="A2" s="4" t="s">
        <v>115</v>
      </c>
      <c r="B2" s="21"/>
      <c r="C2" s="21"/>
      <c r="D2" s="21"/>
      <c r="F2" s="4" t="s">
        <v>168</v>
      </c>
    </row>
    <row r="4" spans="1:9" s="1" customFormat="1" ht="21.75" customHeight="1" x14ac:dyDescent="0.15">
      <c r="A4" s="22" t="s">
        <v>104</v>
      </c>
      <c r="B4" s="22" t="s">
        <v>186</v>
      </c>
      <c r="C4" s="22" t="s">
        <v>105</v>
      </c>
      <c r="D4" s="23" t="s">
        <v>11</v>
      </c>
      <c r="F4" s="30" t="s">
        <v>104</v>
      </c>
      <c r="G4" s="30" t="s">
        <v>186</v>
      </c>
      <c r="H4" s="30" t="s">
        <v>105</v>
      </c>
      <c r="I4" s="30" t="s">
        <v>11</v>
      </c>
    </row>
    <row r="5" spans="1:9" ht="16.5" customHeight="1" x14ac:dyDescent="0.15">
      <c r="A5" s="24" t="s">
        <v>6</v>
      </c>
      <c r="B5" s="24" t="s">
        <v>17</v>
      </c>
      <c r="C5" s="24" t="s">
        <v>44</v>
      </c>
      <c r="D5" s="25">
        <v>245</v>
      </c>
      <c r="I5" s="3"/>
    </row>
    <row r="6" spans="1:9" ht="16.5" customHeight="1" x14ac:dyDescent="0.15">
      <c r="A6" s="26" t="s">
        <v>5</v>
      </c>
      <c r="B6" s="26" t="s">
        <v>18</v>
      </c>
      <c r="C6" s="26" t="s">
        <v>45</v>
      </c>
      <c r="D6" s="27">
        <v>180</v>
      </c>
      <c r="I6" s="3"/>
    </row>
    <row r="7" spans="1:9" ht="16.5" customHeight="1" x14ac:dyDescent="0.15">
      <c r="A7" s="24" t="s">
        <v>12</v>
      </c>
      <c r="B7" s="24" t="s">
        <v>19</v>
      </c>
      <c r="C7" s="24" t="s">
        <v>46</v>
      </c>
      <c r="D7" s="25">
        <v>132</v>
      </c>
      <c r="I7" s="3"/>
    </row>
    <row r="8" spans="1:9" ht="16.5" customHeight="1" x14ac:dyDescent="0.15">
      <c r="A8" s="26" t="s">
        <v>15</v>
      </c>
      <c r="B8" s="26" t="s">
        <v>20</v>
      </c>
      <c r="C8" s="26" t="s">
        <v>47</v>
      </c>
      <c r="D8" s="27">
        <v>210</v>
      </c>
      <c r="I8" s="3"/>
    </row>
    <row r="9" spans="1:9" ht="16.5" customHeight="1" x14ac:dyDescent="0.15">
      <c r="A9" s="24" t="s">
        <v>14</v>
      </c>
      <c r="B9" s="24" t="s">
        <v>21</v>
      </c>
      <c r="C9" s="24" t="s">
        <v>48</v>
      </c>
      <c r="D9" s="25">
        <v>98</v>
      </c>
      <c r="I9" s="3"/>
    </row>
    <row r="10" spans="1:9" ht="16.5" customHeight="1" x14ac:dyDescent="0.15">
      <c r="A10" s="26" t="s">
        <v>106</v>
      </c>
      <c r="B10" s="26" t="s">
        <v>22</v>
      </c>
      <c r="C10" s="26" t="s">
        <v>49</v>
      </c>
      <c r="D10" s="27">
        <v>155</v>
      </c>
      <c r="I10" s="3"/>
    </row>
    <row r="11" spans="1:9" ht="16.5" customHeight="1" x14ac:dyDescent="0.15">
      <c r="A11" s="24" t="s">
        <v>13</v>
      </c>
      <c r="B11" s="24" t="s">
        <v>23</v>
      </c>
      <c r="C11" s="24" t="s">
        <v>50</v>
      </c>
      <c r="D11" s="25">
        <v>120</v>
      </c>
      <c r="I11" s="3"/>
    </row>
    <row r="12" spans="1:9" ht="16.5" customHeight="1" x14ac:dyDescent="0.15">
      <c r="A12" s="26" t="s">
        <v>107</v>
      </c>
      <c r="B12" s="26" t="s">
        <v>24</v>
      </c>
      <c r="C12" s="26" t="s">
        <v>51</v>
      </c>
      <c r="D12" s="27">
        <v>175</v>
      </c>
      <c r="I12" s="3"/>
    </row>
    <row r="13" spans="1:9" ht="16.5" customHeight="1" x14ac:dyDescent="0.15">
      <c r="A13" s="24" t="s">
        <v>108</v>
      </c>
      <c r="B13" s="24" t="s">
        <v>25</v>
      </c>
      <c r="C13" s="24" t="s">
        <v>52</v>
      </c>
      <c r="D13" s="25">
        <v>90</v>
      </c>
      <c r="I13" s="3"/>
    </row>
    <row r="14" spans="1:9" ht="16.5" customHeight="1" x14ac:dyDescent="0.15">
      <c r="A14" s="26" t="s">
        <v>109</v>
      </c>
      <c r="B14" s="26" t="s">
        <v>26</v>
      </c>
      <c r="C14" s="26" t="s">
        <v>53</v>
      </c>
      <c r="D14" s="27">
        <v>105</v>
      </c>
      <c r="I14" s="3"/>
    </row>
    <row r="15" spans="1:9" ht="16.5" customHeight="1" x14ac:dyDescent="0.15">
      <c r="A15" s="24" t="s">
        <v>110</v>
      </c>
      <c r="B15" s="24" t="s">
        <v>27</v>
      </c>
      <c r="C15" s="24" t="s">
        <v>54</v>
      </c>
      <c r="D15" s="25">
        <v>260</v>
      </c>
      <c r="I15" s="3"/>
    </row>
    <row r="16" spans="1:9" ht="16.5" customHeight="1" x14ac:dyDescent="0.15">
      <c r="A16" s="26" t="s">
        <v>111</v>
      </c>
      <c r="B16" s="26" t="s">
        <v>28</v>
      </c>
      <c r="C16" s="26" t="s">
        <v>55</v>
      </c>
      <c r="D16" s="27">
        <v>188</v>
      </c>
      <c r="I16" s="3"/>
    </row>
    <row r="17" spans="1:9" ht="16.5" customHeight="1" x14ac:dyDescent="0.15">
      <c r="A17" s="24" t="s">
        <v>112</v>
      </c>
      <c r="B17" s="24" t="s">
        <v>29</v>
      </c>
      <c r="C17" s="24" t="s">
        <v>56</v>
      </c>
      <c r="D17" s="25">
        <v>140</v>
      </c>
      <c r="I17" s="3"/>
    </row>
    <row r="18" spans="1:9" ht="16.5" customHeight="1" x14ac:dyDescent="0.15">
      <c r="A18" s="26" t="s">
        <v>113</v>
      </c>
      <c r="B18" s="26" t="s">
        <v>30</v>
      </c>
      <c r="C18" s="26" t="s">
        <v>57</v>
      </c>
      <c r="D18" s="27">
        <v>76</v>
      </c>
      <c r="I18" s="3"/>
    </row>
    <row r="19" spans="1:9" ht="16.5" customHeight="1" x14ac:dyDescent="0.15">
      <c r="A19" s="28" t="s">
        <v>114</v>
      </c>
      <c r="B19" s="28" t="s">
        <v>31</v>
      </c>
      <c r="C19" s="28" t="s">
        <v>58</v>
      </c>
      <c r="D19" s="29">
        <v>230</v>
      </c>
      <c r="I19" s="3"/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7C64-C9C2-4E4B-BBF5-8A071B46395F}">
  <dimension ref="B2:G2"/>
  <sheetViews>
    <sheetView workbookViewId="0"/>
  </sheetViews>
  <sheetFormatPr defaultRowHeight="18" customHeight="1" x14ac:dyDescent="0.15"/>
  <cols>
    <col min="1" max="1" width="3.5" style="2" customWidth="1"/>
    <col min="2" max="2" width="6.75" style="2" bestFit="1" customWidth="1"/>
    <col min="3" max="4" width="11.75" style="2" bestFit="1" customWidth="1"/>
    <col min="5" max="5" width="16.875" style="2" bestFit="1" customWidth="1"/>
    <col min="6" max="6" width="9.75" style="2" bestFit="1" customWidth="1"/>
    <col min="7" max="7" width="7.75" style="2" bestFit="1" customWidth="1"/>
    <col min="8" max="16384" width="9" style="2"/>
  </cols>
  <sheetData>
    <row r="2" spans="2:7" ht="21" customHeight="1" x14ac:dyDescent="0.15">
      <c r="B2" s="31" t="s">
        <v>167</v>
      </c>
      <c r="C2" s="31"/>
      <c r="D2" s="31"/>
      <c r="E2" s="31"/>
      <c r="F2" s="31"/>
      <c r="G2" s="3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95903-4EA9-486B-A405-5DD5446660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医療スタッフ</vt:lpstr>
      <vt:lpstr>往診精算</vt:lpstr>
      <vt:lpstr>薬品在庫</vt:lpstr>
      <vt:lpstr>検査予約</vt:lpstr>
      <vt:lpstr>診療件数</vt:lpstr>
      <vt:lpstr>在庫管理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2026-06-25T08:30:41Z</dcterms:created>
  <dcterms:modified xsi:type="dcterms:W3CDTF">2026-07-10T05:21:14Z</dcterms:modified>
</cp:coreProperties>
</file>