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10\"/>
    </mc:Choice>
  </mc:AlternateContent>
  <xr:revisionPtr revIDLastSave="0" documentId="13_ncr:1_{FCCCA346-7040-4EBF-9A80-502AC6261697}" xr6:coauthVersionLast="47" xr6:coauthVersionMax="47" xr10:uidLastSave="{00000000-0000-0000-0000-000000000000}"/>
  <bookViews>
    <workbookView xWindow="-120" yWindow="-120" windowWidth="29040" windowHeight="15720" tabRatio="751" xr2:uid="{00000000-000D-0000-FFFF-FFFF00000000}"/>
  </bookViews>
  <sheets>
    <sheet name="工場社員" sheetId="2" r:id="rId1"/>
    <sheet name="配送清算" sheetId="3" r:id="rId2"/>
    <sheet name="部品在庫" sheetId="4" r:id="rId3"/>
    <sheet name="作業予定" sheetId="5" r:id="rId4"/>
    <sheet name="生産ランキング" sheetId="6" r:id="rId5"/>
    <sheet name="部品在庫表" sheetId="8" r:id="rId6"/>
  </sheets>
  <definedNames>
    <definedName name="ExternalData_1" localSheetId="5" hidden="1">部品在庫表!#REF!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 a="1"/>
  <c r="D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<sst xmlns="http://schemas.openxmlformats.org/spreadsheetml/2006/main" count="336" uniqueCount="159">
  <si>
    <t>No</t>
  </si>
  <si>
    <t>検査</t>
  </si>
  <si>
    <t>組立</t>
  </si>
  <si>
    <t>加工</t>
  </si>
  <si>
    <t>林大翔</t>
  </si>
  <si>
    <t>藤井美月</t>
  </si>
  <si>
    <t>松本蒼</t>
  </si>
  <si>
    <t>森田琴音</t>
  </si>
  <si>
    <t>山口樹</t>
  </si>
  <si>
    <t>吉田莉子</t>
  </si>
  <si>
    <t>渡辺晴</t>
  </si>
  <si>
    <t>伊藤芽依</t>
  </si>
  <si>
    <t>岡田陸</t>
  </si>
  <si>
    <t>近藤沙耶</t>
  </si>
  <si>
    <t>長谷川翼</t>
  </si>
  <si>
    <t>安藤柚希</t>
  </si>
  <si>
    <t>村田悠斗</t>
  </si>
  <si>
    <t>青木遥</t>
  </si>
  <si>
    <t>担当者</t>
  </si>
  <si>
    <t>日付</t>
  </si>
  <si>
    <t>分類</t>
  </si>
  <si>
    <t>開始時間</t>
  </si>
  <si>
    <t>終了時間</t>
  </si>
  <si>
    <t>内容</t>
  </si>
  <si>
    <t>場所</t>
  </si>
  <si>
    <t>面談</t>
  </si>
  <si>
    <t>B室</t>
  </si>
  <si>
    <t>講座</t>
  </si>
  <si>
    <t>オンライン</t>
  </si>
  <si>
    <t>受付</t>
  </si>
  <si>
    <t>第1会議室</t>
  </si>
  <si>
    <t>作業</t>
  </si>
  <si>
    <t>確認</t>
  </si>
  <si>
    <t>A室</t>
  </si>
  <si>
    <t>生産数</t>
  </si>
  <si>
    <t>配送先</t>
  </si>
  <si>
    <t>配送手当</t>
  </si>
  <si>
    <t>東京工場</t>
  </si>
  <si>
    <t>新宿営業所</t>
  </si>
  <si>
    <t>横浜工場</t>
  </si>
  <si>
    <t>渋谷営業所</t>
  </si>
  <si>
    <t>千葉工場</t>
  </si>
  <si>
    <t>池袋営業所</t>
  </si>
  <si>
    <t>埼玉工場</t>
  </si>
  <si>
    <t>上野営業所</t>
  </si>
  <si>
    <t>品川営業所</t>
  </si>
  <si>
    <t>社員名</t>
  </si>
  <si>
    <t>部署</t>
  </si>
  <si>
    <t>技能試験点数</t>
  </si>
  <si>
    <t>資格手当</t>
  </si>
  <si>
    <t>整理番号</t>
  </si>
  <si>
    <t>青山健介</t>
  </si>
  <si>
    <t>石黒美奈</t>
  </si>
  <si>
    <t>上田拓也</t>
  </si>
  <si>
    <t>江口沙織</t>
  </si>
  <si>
    <t>塗装</t>
  </si>
  <si>
    <t>大谷和也</t>
  </si>
  <si>
    <t>奥村奈々</t>
  </si>
  <si>
    <t>梶原悠斗</t>
  </si>
  <si>
    <t>川上陽子</t>
  </si>
  <si>
    <t>北村誠司</t>
  </si>
  <si>
    <t>溶接</t>
  </si>
  <si>
    <t>久保田遥</t>
  </si>
  <si>
    <t>栗田直樹</t>
  </si>
  <si>
    <t>黒田優美</t>
  </si>
  <si>
    <t>小坂大輔</t>
  </si>
  <si>
    <t>小西真帆</t>
  </si>
  <si>
    <t>坂井翔太</t>
  </si>
  <si>
    <t>桜井恵</t>
  </si>
  <si>
    <t>柴田大輝</t>
  </si>
  <si>
    <t>島崎由香</t>
  </si>
  <si>
    <t>菅原拓海</t>
  </si>
  <si>
    <t>関口彩香</t>
  </si>
  <si>
    <t>出荷工場</t>
  </si>
  <si>
    <t>製品名</t>
  </si>
  <si>
    <t>重量</t>
  </si>
  <si>
    <t>ギアユニット</t>
  </si>
  <si>
    <t>小型モーター</t>
  </si>
  <si>
    <t>ベアリングセット</t>
  </si>
  <si>
    <t>駆動シャフト</t>
  </si>
  <si>
    <t>川崎工場</t>
  </si>
  <si>
    <t>ボルトセット</t>
  </si>
  <si>
    <t>相模原工場</t>
  </si>
  <si>
    <t>銀座営業所</t>
  </si>
  <si>
    <t>制御基板</t>
  </si>
  <si>
    <t>宇都宮工場</t>
  </si>
  <si>
    <t>秋葉原営業所</t>
  </si>
  <si>
    <t>センサー部品</t>
  </si>
  <si>
    <t>前橋工場</t>
  </si>
  <si>
    <t>日本橋営業所</t>
  </si>
  <si>
    <t>冷却ファン</t>
  </si>
  <si>
    <t>水戸工場</t>
  </si>
  <si>
    <t>浅草営業所</t>
  </si>
  <si>
    <t>油圧シリンダー</t>
  </si>
  <si>
    <t>柏工場</t>
  </si>
  <si>
    <t>新橋営業所</t>
  </si>
  <si>
    <t>配線ハーネス</t>
  </si>
  <si>
    <t>横浜営業所</t>
  </si>
  <si>
    <t>大宮営業所</t>
  </si>
  <si>
    <t>千葉営業所</t>
  </si>
  <si>
    <t>立川営業所</t>
  </si>
  <si>
    <t>町田営業所</t>
  </si>
  <si>
    <t>川崎営業所</t>
  </si>
  <si>
    <t>柏営業所</t>
  </si>
  <si>
    <t>浦和営業所</t>
  </si>
  <si>
    <t>吉祥寺営業所</t>
  </si>
  <si>
    <t>中野営業所</t>
  </si>
  <si>
    <t>配送手当一覧</t>
    <rPh sb="0" eb="2">
      <t>ハイソウ</t>
    </rPh>
    <rPh sb="2" eb="4">
      <t>テアテ</t>
    </rPh>
    <rPh sb="4" eb="6">
      <t>イチラン</t>
    </rPh>
    <phoneticPr fontId="2"/>
  </si>
  <si>
    <t>部品名</t>
  </si>
  <si>
    <t>在庫数</t>
  </si>
  <si>
    <t>使用率</t>
  </si>
  <si>
    <t>発注の要否</t>
  </si>
  <si>
    <t>発注単価</t>
  </si>
  <si>
    <t>発注数量</t>
  </si>
  <si>
    <t>平歯車</t>
  </si>
  <si>
    <t>駆動部品</t>
  </si>
  <si>
    <t>電装部品</t>
  </si>
  <si>
    <t>深溝ベアリング</t>
  </si>
  <si>
    <t>回転部品</t>
  </si>
  <si>
    <t>六角ボルト</t>
  </si>
  <si>
    <t>締結部品</t>
  </si>
  <si>
    <t>六角ナット</t>
  </si>
  <si>
    <t>平ワッシャー</t>
  </si>
  <si>
    <t>タイミングプーリー</t>
  </si>
  <si>
    <t>ローラーチェーン</t>
  </si>
  <si>
    <t>スプロケット</t>
  </si>
  <si>
    <t>近接センサー</t>
  </si>
  <si>
    <t>制御部品</t>
  </si>
  <si>
    <t>油圧部品</t>
  </si>
  <si>
    <t>電磁バルブ</t>
  </si>
  <si>
    <t>圧力計</t>
  </si>
  <si>
    <t>計測部品</t>
  </si>
  <si>
    <t>温度センサー</t>
  </si>
  <si>
    <t>リミットスイッチ</t>
  </si>
  <si>
    <t>インバーター</t>
  </si>
  <si>
    <t>端子台</t>
  </si>
  <si>
    <t>カップリング</t>
  </si>
  <si>
    <t>Oリング</t>
  </si>
  <si>
    <t>密封部品</t>
  </si>
  <si>
    <t>オイルシール</t>
  </si>
  <si>
    <t>防振ゴム</t>
  </si>
  <si>
    <t>支持部品</t>
  </si>
  <si>
    <t>エアフィルター</t>
  </si>
  <si>
    <t>空圧部品</t>
  </si>
  <si>
    <t>レギュレーター</t>
  </si>
  <si>
    <t>エアシリンダー</t>
  </si>
  <si>
    <t>潤滑油</t>
  </si>
  <si>
    <t>保守用品</t>
  </si>
  <si>
    <t>研磨パッド</t>
  </si>
  <si>
    <t>加工用品</t>
  </si>
  <si>
    <t>部品在庫</t>
    <rPh sb="0" eb="2">
      <t>ブヒン</t>
    </rPh>
    <rPh sb="2" eb="4">
      <t>ザイコ</t>
    </rPh>
    <phoneticPr fontId="2"/>
  </si>
  <si>
    <t>工場名</t>
  </si>
  <si>
    <t>標準発注ロット</t>
  </si>
  <si>
    <t>社 員 一 覧</t>
    <rPh sb="0" eb="1">
      <t>シャ</t>
    </rPh>
    <rPh sb="2" eb="3">
      <t>イン</t>
    </rPh>
    <rPh sb="4" eb="5">
      <t>イチ</t>
    </rPh>
    <rPh sb="6" eb="7">
      <t>ラン</t>
    </rPh>
    <phoneticPr fontId="2"/>
  </si>
  <si>
    <t>部品別発注確認</t>
    <rPh sb="0" eb="2">
      <t>ブヒン</t>
    </rPh>
    <rPh sb="2" eb="3">
      <t>ベツ</t>
    </rPh>
    <rPh sb="3" eb="5">
      <t>ハッチュウ</t>
    </rPh>
    <rPh sb="5" eb="7">
      <t>カクニン</t>
    </rPh>
    <phoneticPr fontId="2"/>
  </si>
  <si>
    <t>作　業　予　定　表</t>
    <rPh sb="0" eb="1">
      <t>サク</t>
    </rPh>
    <rPh sb="2" eb="3">
      <t>ゴウ</t>
    </rPh>
    <rPh sb="4" eb="5">
      <t>ヨ</t>
    </rPh>
    <rPh sb="6" eb="7">
      <t>サダム</t>
    </rPh>
    <rPh sb="8" eb="9">
      <t>ヒョウ</t>
    </rPh>
    <phoneticPr fontId="2"/>
  </si>
  <si>
    <t>発注ロット数</t>
    <phoneticPr fontId="2"/>
  </si>
  <si>
    <t>生産数一覧</t>
    <rPh sb="0" eb="3">
      <t>セイサンスウ</t>
    </rPh>
    <rPh sb="3" eb="5">
      <t>イチラン</t>
    </rPh>
    <phoneticPr fontId="2"/>
  </si>
  <si>
    <t>生産数ランキング</t>
    <rPh sb="0" eb="3">
      <t>セイサンスウ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</si>
</sst>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m&quot;月&quot;d&quot;日&quot;;@"/>
  </numFmts>
  <fonts count="17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6"/>
      <color rgb="FF00206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2"/>
      <color theme="0"/>
      <name val="游ゴシック"/>
      <family val="2"/>
      <scheme val="minor"/>
    </font>
    <font>
      <b/>
      <sz val="14"/>
      <color rgb="FFC0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8"/>
      </bottom>
      <diagonal/>
    </border>
    <border>
      <left/>
      <right/>
      <top style="double">
        <color theme="5"/>
      </top>
      <bottom style="double">
        <color theme="5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7" fillId="0" borderId="0" xfId="0" applyFont="1" applyAlignment="1">
      <alignment vertical="center"/>
    </xf>
    <xf numFmtId="38" fontId="0" fillId="2" borderId="5" xfId="1" applyFont="1" applyFill="1" applyBorder="1" applyAlignment="1">
      <alignment horizontal="right" vertical="center" wrapText="1"/>
    </xf>
    <xf numFmtId="38" fontId="0" fillId="2" borderId="5" xfId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2" xfId="0" applyNumberFormat="1" applyBorder="1" applyAlignment="1">
      <alignment vertical="center"/>
    </xf>
    <xf numFmtId="38" fontId="0" fillId="0" borderId="2" xfId="1" applyFont="1" applyBorder="1" applyAlignment="1">
      <alignment vertical="center"/>
    </xf>
    <xf numFmtId="38" fontId="0" fillId="0" borderId="1" xfId="1" applyFont="1" applyBorder="1" applyAlignment="1">
      <alignment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11" borderId="8" xfId="0" applyFont="1" applyFill="1" applyBorder="1" applyAlignment="1">
      <alignment vertical="center"/>
    </xf>
    <xf numFmtId="0" fontId="11" fillId="11" borderId="8" xfId="0" applyFont="1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3" xfId="0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38" fontId="0" fillId="2" borderId="5" xfId="1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6" fillId="4" borderId="14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38" fontId="0" fillId="0" borderId="14" xfId="1" applyFont="1" applyBorder="1" applyAlignment="1">
      <alignment vertical="center"/>
    </xf>
    <xf numFmtId="0" fontId="9" fillId="0" borderId="6" xfId="0" applyFont="1" applyBorder="1"/>
    <xf numFmtId="0" fontId="16" fillId="0" borderId="6" xfId="0" applyFont="1" applyBorder="1"/>
    <xf numFmtId="38" fontId="0" fillId="7" borderId="4" xfId="1" applyFont="1" applyFill="1" applyBorder="1" applyAlignment="1">
      <alignment vertical="center"/>
    </xf>
    <xf numFmtId="38" fontId="0" fillId="0" borderId="0" xfId="1" applyFont="1" applyAlignment="1">
      <alignment vertical="center"/>
    </xf>
    <xf numFmtId="38" fontId="0" fillId="7" borderId="0" xfId="1" applyFont="1" applyFill="1" applyAlignment="1">
      <alignment vertical="center"/>
    </xf>
    <xf numFmtId="38" fontId="0" fillId="7" borderId="3" xfId="1" applyFont="1" applyFill="1" applyBorder="1" applyAlignment="1">
      <alignment vertical="center"/>
    </xf>
    <xf numFmtId="0" fontId="15" fillId="6" borderId="15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177" fontId="0" fillId="0" borderId="15" xfId="0" applyNumberFormat="1" applyBorder="1" applyAlignment="1">
      <alignment horizontal="right" vertical="center"/>
    </xf>
    <xf numFmtId="176" fontId="0" fillId="0" borderId="15" xfId="0" applyNumberFormat="1" applyBorder="1" applyAlignment="1">
      <alignment vertical="center"/>
    </xf>
    <xf numFmtId="176" fontId="0" fillId="0" borderId="15" xfId="0" applyNumberFormat="1" applyBorder="1"/>
    <xf numFmtId="0" fontId="8" fillId="0" borderId="1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工場社員!$E$4</c:f>
              <c:strCache>
                <c:ptCount val="1"/>
                <c:pt idx="0">
                  <c:v>技能試験点数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工場社員!$C$5:$C$24</c:f>
              <c:strCache>
                <c:ptCount val="20"/>
                <c:pt idx="0">
                  <c:v>青山健介</c:v>
                </c:pt>
                <c:pt idx="1">
                  <c:v>石黒美奈</c:v>
                </c:pt>
                <c:pt idx="2">
                  <c:v>上田拓也</c:v>
                </c:pt>
                <c:pt idx="3">
                  <c:v>江口沙織</c:v>
                </c:pt>
                <c:pt idx="4">
                  <c:v>大谷和也</c:v>
                </c:pt>
                <c:pt idx="5">
                  <c:v>奥村奈々</c:v>
                </c:pt>
                <c:pt idx="6">
                  <c:v>梶原悠斗</c:v>
                </c:pt>
                <c:pt idx="7">
                  <c:v>川上陽子</c:v>
                </c:pt>
                <c:pt idx="8">
                  <c:v>北村誠司</c:v>
                </c:pt>
                <c:pt idx="9">
                  <c:v>久保田遥</c:v>
                </c:pt>
                <c:pt idx="10">
                  <c:v>栗田直樹</c:v>
                </c:pt>
                <c:pt idx="11">
                  <c:v>黒田優美</c:v>
                </c:pt>
                <c:pt idx="12">
                  <c:v>小坂大輔</c:v>
                </c:pt>
                <c:pt idx="13">
                  <c:v>小西真帆</c:v>
                </c:pt>
                <c:pt idx="14">
                  <c:v>坂井翔太</c:v>
                </c:pt>
                <c:pt idx="15">
                  <c:v>桜井恵</c:v>
                </c:pt>
                <c:pt idx="16">
                  <c:v>柴田大輝</c:v>
                </c:pt>
                <c:pt idx="17">
                  <c:v>島崎由香</c:v>
                </c:pt>
                <c:pt idx="18">
                  <c:v>菅原拓海</c:v>
                </c:pt>
                <c:pt idx="19">
                  <c:v>関口彩香</c:v>
                </c:pt>
              </c:strCache>
            </c:strRef>
          </c:cat>
          <c:val>
            <c:numRef>
              <c:f>工場社員!$E$5:$E$24</c:f>
              <c:numCache>
                <c:formatCode>General</c:formatCode>
                <c:ptCount val="20"/>
                <c:pt idx="0">
                  <c:v>86</c:v>
                </c:pt>
                <c:pt idx="1">
                  <c:v>74</c:v>
                </c:pt>
                <c:pt idx="2">
                  <c:v>92</c:v>
                </c:pt>
                <c:pt idx="3">
                  <c:v>68</c:v>
                </c:pt>
                <c:pt idx="4">
                  <c:v>83</c:v>
                </c:pt>
                <c:pt idx="5">
                  <c:v>79</c:v>
                </c:pt>
                <c:pt idx="6">
                  <c:v>95</c:v>
                </c:pt>
                <c:pt idx="7">
                  <c:v>81</c:v>
                </c:pt>
                <c:pt idx="8">
                  <c:v>77</c:v>
                </c:pt>
                <c:pt idx="9">
                  <c:v>89</c:v>
                </c:pt>
                <c:pt idx="10">
                  <c:v>63</c:v>
                </c:pt>
                <c:pt idx="11">
                  <c:v>91</c:v>
                </c:pt>
                <c:pt idx="12">
                  <c:v>85</c:v>
                </c:pt>
                <c:pt idx="13">
                  <c:v>72</c:v>
                </c:pt>
                <c:pt idx="14">
                  <c:v>98</c:v>
                </c:pt>
                <c:pt idx="15">
                  <c:v>80</c:v>
                </c:pt>
                <c:pt idx="16">
                  <c:v>87</c:v>
                </c:pt>
                <c:pt idx="17">
                  <c:v>66</c:v>
                </c:pt>
                <c:pt idx="18">
                  <c:v>82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4634-9015-BC2F626FA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4106303"/>
        <c:axId val="974106783"/>
        <c:axId val="0"/>
      </c:bar3DChart>
      <c:catAx>
        <c:axId val="97410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06783"/>
        <c:crosses val="autoZero"/>
        <c:auto val="1"/>
        <c:lblAlgn val="ctr"/>
        <c:lblOffset val="100"/>
        <c:noMultiLvlLbl val="0"/>
      </c:catAx>
      <c:valAx>
        <c:axId val="97410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06303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</xdr:colOff>
      <xdr:row>3</xdr:row>
      <xdr:rowOff>228599</xdr:rowOff>
    </xdr:from>
    <xdr:to>
      <xdr:col>14</xdr:col>
      <xdr:colOff>647700</xdr:colOff>
      <xdr:row>24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676D53-DF8E-2C8A-CE66-D28E58391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トリミング">
  <a:themeElements>
    <a:clrScheme name="トリミング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トリミング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4"/>
  <sheetViews>
    <sheetView tabSelected="1" workbookViewId="0"/>
  </sheetViews>
  <sheetFormatPr defaultRowHeight="18.75" x14ac:dyDescent="0.4"/>
  <cols>
    <col min="1" max="1" width="2.75" style="10" customWidth="1"/>
    <col min="2" max="2" width="7.875" style="10" customWidth="1"/>
    <col min="3" max="7" width="15.875" style="10" customWidth="1"/>
    <col min="8" max="16384" width="9" style="10"/>
  </cols>
  <sheetData>
    <row r="1" spans="2:11" ht="18.75" customHeight="1" x14ac:dyDescent="0.4">
      <c r="B1" s="53" t="s">
        <v>153</v>
      </c>
      <c r="C1" s="53"/>
      <c r="D1" s="53"/>
      <c r="E1" s="53"/>
      <c r="F1" s="53"/>
      <c r="G1" s="53"/>
    </row>
    <row r="4" spans="2:11" s="6" customFormat="1" x14ac:dyDescent="0.4">
      <c r="B4" s="11" t="s">
        <v>0</v>
      </c>
      <c r="C4" s="11" t="s">
        <v>46</v>
      </c>
      <c r="D4" s="11" t="s">
        <v>47</v>
      </c>
      <c r="E4" s="11" t="s">
        <v>48</v>
      </c>
      <c r="F4" s="8" t="s">
        <v>49</v>
      </c>
      <c r="G4" s="8" t="s">
        <v>50</v>
      </c>
      <c r="I4" s="3"/>
      <c r="J4" s="3"/>
      <c r="K4" s="3"/>
    </row>
    <row r="5" spans="2:11" x14ac:dyDescent="0.4">
      <c r="B5" s="12">
        <v>1</v>
      </c>
      <c r="C5" s="12" t="s">
        <v>51</v>
      </c>
      <c r="D5" s="12" t="s">
        <v>2</v>
      </c>
      <c r="E5" s="12">
        <v>86</v>
      </c>
      <c r="F5" s="29"/>
      <c r="G5" s="9"/>
      <c r="H5" s="2"/>
      <c r="I5" s="2"/>
      <c r="J5" s="1"/>
      <c r="K5" s="1"/>
    </row>
    <row r="6" spans="2:11" x14ac:dyDescent="0.4">
      <c r="B6" s="12">
        <v>2</v>
      </c>
      <c r="C6" s="12" t="s">
        <v>52</v>
      </c>
      <c r="D6" s="12" t="s">
        <v>3</v>
      </c>
      <c r="E6" s="12">
        <v>74</v>
      </c>
      <c r="F6" s="14"/>
      <c r="G6" s="9"/>
      <c r="H6" s="2"/>
      <c r="I6" s="2"/>
      <c r="J6" s="1"/>
      <c r="K6" s="1"/>
    </row>
    <row r="7" spans="2:11" x14ac:dyDescent="0.4">
      <c r="B7" s="12">
        <v>3</v>
      </c>
      <c r="C7" s="12" t="s">
        <v>53</v>
      </c>
      <c r="D7" s="12" t="s">
        <v>1</v>
      </c>
      <c r="E7" s="12">
        <v>92</v>
      </c>
      <c r="F7" s="14"/>
      <c r="G7" s="9"/>
      <c r="H7" s="2"/>
      <c r="I7" s="2"/>
      <c r="J7" s="1"/>
      <c r="K7" s="1"/>
    </row>
    <row r="8" spans="2:11" x14ac:dyDescent="0.4">
      <c r="B8" s="12">
        <v>4</v>
      </c>
      <c r="C8" s="12" t="s">
        <v>54</v>
      </c>
      <c r="D8" s="12" t="s">
        <v>55</v>
      </c>
      <c r="E8" s="12">
        <v>68</v>
      </c>
      <c r="F8" s="14"/>
      <c r="G8" s="9"/>
      <c r="H8" s="2"/>
      <c r="I8" s="2"/>
      <c r="J8" s="1"/>
      <c r="K8" s="1"/>
    </row>
    <row r="9" spans="2:11" x14ac:dyDescent="0.4">
      <c r="B9" s="12">
        <v>5</v>
      </c>
      <c r="C9" s="12" t="s">
        <v>56</v>
      </c>
      <c r="D9" s="12" t="s">
        <v>2</v>
      </c>
      <c r="E9" s="12">
        <v>83</v>
      </c>
      <c r="F9" s="14"/>
      <c r="G9" s="9"/>
      <c r="H9" s="2"/>
      <c r="I9" s="2"/>
      <c r="J9" s="1"/>
      <c r="K9" s="1"/>
    </row>
    <row r="10" spans="2:11" x14ac:dyDescent="0.4">
      <c r="B10" s="12">
        <v>6</v>
      </c>
      <c r="C10" s="12" t="s">
        <v>57</v>
      </c>
      <c r="D10" s="12" t="s">
        <v>3</v>
      </c>
      <c r="E10" s="12">
        <v>79</v>
      </c>
      <c r="F10" s="14"/>
      <c r="G10" s="9"/>
      <c r="H10" s="2"/>
      <c r="I10" s="2"/>
      <c r="J10" s="1"/>
      <c r="K10" s="1"/>
    </row>
    <row r="11" spans="2:11" x14ac:dyDescent="0.4">
      <c r="B11" s="12">
        <v>7</v>
      </c>
      <c r="C11" s="12" t="s">
        <v>58</v>
      </c>
      <c r="D11" s="12" t="s">
        <v>1</v>
      </c>
      <c r="E11" s="12">
        <v>95</v>
      </c>
      <c r="F11" s="15"/>
      <c r="G11" s="9"/>
    </row>
    <row r="12" spans="2:11" x14ac:dyDescent="0.4">
      <c r="B12" s="12">
        <v>8</v>
      </c>
      <c r="C12" s="12" t="s">
        <v>59</v>
      </c>
      <c r="D12" s="12" t="s">
        <v>55</v>
      </c>
      <c r="E12" s="12">
        <v>81</v>
      </c>
      <c r="F12" s="15"/>
      <c r="G12" s="9"/>
    </row>
    <row r="13" spans="2:11" x14ac:dyDescent="0.4">
      <c r="B13" s="12">
        <v>9</v>
      </c>
      <c r="C13" s="12" t="s">
        <v>60</v>
      </c>
      <c r="D13" s="12" t="s">
        <v>61</v>
      </c>
      <c r="E13" s="12">
        <v>77</v>
      </c>
      <c r="F13" s="15"/>
      <c r="G13" s="9"/>
    </row>
    <row r="14" spans="2:11" x14ac:dyDescent="0.4">
      <c r="B14" s="12">
        <v>10</v>
      </c>
      <c r="C14" s="12" t="s">
        <v>62</v>
      </c>
      <c r="D14" s="12" t="s">
        <v>2</v>
      </c>
      <c r="E14" s="12">
        <v>89</v>
      </c>
      <c r="F14" s="15"/>
      <c r="G14" s="9"/>
    </row>
    <row r="15" spans="2:11" x14ac:dyDescent="0.4">
      <c r="B15" s="12">
        <v>11</v>
      </c>
      <c r="C15" s="12" t="s">
        <v>63</v>
      </c>
      <c r="D15" s="12" t="s">
        <v>3</v>
      </c>
      <c r="E15" s="12">
        <v>63</v>
      </c>
      <c r="F15" s="15"/>
      <c r="G15" s="9"/>
    </row>
    <row r="16" spans="2:11" x14ac:dyDescent="0.4">
      <c r="B16" s="12">
        <v>12</v>
      </c>
      <c r="C16" s="12" t="s">
        <v>64</v>
      </c>
      <c r="D16" s="12" t="s">
        <v>1</v>
      </c>
      <c r="E16" s="12">
        <v>91</v>
      </c>
      <c r="F16" s="15"/>
      <c r="G16" s="9"/>
    </row>
    <row r="17" spans="2:7" x14ac:dyDescent="0.4">
      <c r="B17" s="12">
        <v>13</v>
      </c>
      <c r="C17" s="12" t="s">
        <v>65</v>
      </c>
      <c r="D17" s="12" t="s">
        <v>55</v>
      </c>
      <c r="E17" s="12">
        <v>85</v>
      </c>
      <c r="F17" s="15"/>
      <c r="G17" s="9"/>
    </row>
    <row r="18" spans="2:7" x14ac:dyDescent="0.4">
      <c r="B18" s="12">
        <v>14</v>
      </c>
      <c r="C18" s="12" t="s">
        <v>66</v>
      </c>
      <c r="D18" s="12" t="s">
        <v>61</v>
      </c>
      <c r="E18" s="12">
        <v>72</v>
      </c>
      <c r="F18" s="15"/>
      <c r="G18" s="9"/>
    </row>
    <row r="19" spans="2:7" x14ac:dyDescent="0.4">
      <c r="B19" s="12">
        <v>15</v>
      </c>
      <c r="C19" s="12" t="s">
        <v>67</v>
      </c>
      <c r="D19" s="12" t="s">
        <v>2</v>
      </c>
      <c r="E19" s="12">
        <v>98</v>
      </c>
      <c r="F19" s="15"/>
      <c r="G19" s="9"/>
    </row>
    <row r="20" spans="2:7" x14ac:dyDescent="0.4">
      <c r="B20" s="12">
        <v>16</v>
      </c>
      <c r="C20" s="12" t="s">
        <v>68</v>
      </c>
      <c r="D20" s="12" t="s">
        <v>3</v>
      </c>
      <c r="E20" s="12">
        <v>80</v>
      </c>
      <c r="F20" s="15"/>
      <c r="G20" s="9"/>
    </row>
    <row r="21" spans="2:7" x14ac:dyDescent="0.4">
      <c r="B21" s="12">
        <v>17</v>
      </c>
      <c r="C21" s="12" t="s">
        <v>69</v>
      </c>
      <c r="D21" s="12" t="s">
        <v>1</v>
      </c>
      <c r="E21" s="12">
        <v>87</v>
      </c>
      <c r="F21" s="15"/>
      <c r="G21" s="9"/>
    </row>
    <row r="22" spans="2:7" x14ac:dyDescent="0.4">
      <c r="B22" s="12">
        <v>18</v>
      </c>
      <c r="C22" s="12" t="s">
        <v>70</v>
      </c>
      <c r="D22" s="12" t="s">
        <v>55</v>
      </c>
      <c r="E22" s="12">
        <v>66</v>
      </c>
      <c r="F22" s="15"/>
      <c r="G22" s="9"/>
    </row>
    <row r="23" spans="2:7" x14ac:dyDescent="0.4">
      <c r="B23" s="12">
        <v>19</v>
      </c>
      <c r="C23" s="12" t="s">
        <v>71</v>
      </c>
      <c r="D23" s="12" t="s">
        <v>61</v>
      </c>
      <c r="E23" s="12">
        <v>82</v>
      </c>
      <c r="F23" s="15"/>
      <c r="G23" s="9"/>
    </row>
    <row r="24" spans="2:7" x14ac:dyDescent="0.4">
      <c r="B24" s="12">
        <v>20</v>
      </c>
      <c r="C24" s="12" t="s">
        <v>72</v>
      </c>
      <c r="D24" s="12" t="s">
        <v>2</v>
      </c>
      <c r="E24" s="12">
        <v>94</v>
      </c>
      <c r="F24" s="15"/>
      <c r="G24" s="9"/>
    </row>
  </sheetData>
  <mergeCells count="1">
    <mergeCell ref="B1:G1"/>
  </mergeCells>
  <phoneticPr fontId="2"/>
  <pageMargins left="0.25" right="0.25" top="0.5" bottom="0.5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defaultRowHeight="18.75" x14ac:dyDescent="0.4"/>
  <cols>
    <col min="1" max="1" width="7.875" style="10" customWidth="1"/>
    <col min="2" max="2" width="11" style="10" bestFit="1" customWidth="1"/>
    <col min="3" max="3" width="13" style="10" bestFit="1" customWidth="1"/>
    <col min="4" max="4" width="17.125" style="10" bestFit="1" customWidth="1"/>
    <col min="5" max="5" width="11.625" style="10" customWidth="1"/>
    <col min="6" max="6" width="13.125" style="10" customWidth="1"/>
    <col min="7" max="16384" width="9" style="10"/>
  </cols>
  <sheetData>
    <row r="1" spans="1:6" ht="16.5" customHeight="1" x14ac:dyDescent="0.4"/>
    <row r="2" spans="1:6" ht="26.25" thickBot="1" x14ac:dyDescent="0.45">
      <c r="A2" s="54" t="s">
        <v>107</v>
      </c>
      <c r="B2" s="54"/>
      <c r="C2" s="54"/>
      <c r="D2" s="54"/>
      <c r="E2" s="54"/>
      <c r="F2" s="54"/>
    </row>
    <row r="3" spans="1:6" ht="19.5" thickTop="1" x14ac:dyDescent="0.4"/>
    <row r="4" spans="1:6" s="5" customFormat="1" x14ac:dyDescent="0.4">
      <c r="A4" s="36" t="s">
        <v>0</v>
      </c>
      <c r="B4" s="36" t="s">
        <v>73</v>
      </c>
      <c r="C4" s="36" t="s">
        <v>35</v>
      </c>
      <c r="D4" s="36" t="s">
        <v>74</v>
      </c>
      <c r="E4" s="36" t="s">
        <v>75</v>
      </c>
      <c r="F4" s="36" t="s">
        <v>36</v>
      </c>
    </row>
    <row r="5" spans="1:6" x14ac:dyDescent="0.4">
      <c r="A5" s="37">
        <v>1</v>
      </c>
      <c r="B5" s="37" t="s">
        <v>37</v>
      </c>
      <c r="C5" s="37" t="s">
        <v>38</v>
      </c>
      <c r="D5" s="37" t="s">
        <v>76</v>
      </c>
      <c r="E5" s="38">
        <v>620</v>
      </c>
      <c r="F5" s="38"/>
    </row>
    <row r="6" spans="1:6" x14ac:dyDescent="0.4">
      <c r="A6" s="37">
        <v>2</v>
      </c>
      <c r="B6" s="37" t="s">
        <v>39</v>
      </c>
      <c r="C6" s="37" t="s">
        <v>40</v>
      </c>
      <c r="D6" s="37" t="s">
        <v>77</v>
      </c>
      <c r="E6" s="38">
        <v>430</v>
      </c>
      <c r="F6" s="38"/>
    </row>
    <row r="7" spans="1:6" x14ac:dyDescent="0.4">
      <c r="A7" s="37">
        <v>3</v>
      </c>
      <c r="B7" s="37" t="s">
        <v>41</v>
      </c>
      <c r="C7" s="37" t="s">
        <v>42</v>
      </c>
      <c r="D7" s="37" t="s">
        <v>78</v>
      </c>
      <c r="E7" s="38">
        <v>510</v>
      </c>
      <c r="F7" s="38"/>
    </row>
    <row r="8" spans="1:6" x14ac:dyDescent="0.4">
      <c r="A8" s="37">
        <v>4</v>
      </c>
      <c r="B8" s="37" t="s">
        <v>43</v>
      </c>
      <c r="C8" s="37" t="s">
        <v>44</v>
      </c>
      <c r="D8" s="37" t="s">
        <v>79</v>
      </c>
      <c r="E8" s="38">
        <v>380</v>
      </c>
      <c r="F8" s="38"/>
    </row>
    <row r="9" spans="1:6" x14ac:dyDescent="0.4">
      <c r="A9" s="37">
        <v>5</v>
      </c>
      <c r="B9" s="37" t="s">
        <v>80</v>
      </c>
      <c r="C9" s="37" t="s">
        <v>45</v>
      </c>
      <c r="D9" s="37" t="s">
        <v>81</v>
      </c>
      <c r="E9" s="38">
        <v>720</v>
      </c>
      <c r="F9" s="38"/>
    </row>
    <row r="10" spans="1:6" x14ac:dyDescent="0.4">
      <c r="A10" s="37">
        <v>6</v>
      </c>
      <c r="B10" s="37" t="s">
        <v>82</v>
      </c>
      <c r="C10" s="37" t="s">
        <v>83</v>
      </c>
      <c r="D10" s="37" t="s">
        <v>84</v>
      </c>
      <c r="E10" s="38">
        <v>465</v>
      </c>
      <c r="F10" s="38"/>
    </row>
    <row r="11" spans="1:6" x14ac:dyDescent="0.4">
      <c r="A11" s="37">
        <v>7</v>
      </c>
      <c r="B11" s="37" t="s">
        <v>85</v>
      </c>
      <c r="C11" s="37" t="s">
        <v>86</v>
      </c>
      <c r="D11" s="37" t="s">
        <v>87</v>
      </c>
      <c r="E11" s="38">
        <v>580</v>
      </c>
      <c r="F11" s="38"/>
    </row>
    <row r="12" spans="1:6" x14ac:dyDescent="0.4">
      <c r="A12" s="37">
        <v>8</v>
      </c>
      <c r="B12" s="37" t="s">
        <v>88</v>
      </c>
      <c r="C12" s="37" t="s">
        <v>89</v>
      </c>
      <c r="D12" s="37" t="s">
        <v>90</v>
      </c>
      <c r="E12" s="38">
        <v>340</v>
      </c>
      <c r="F12" s="38"/>
    </row>
    <row r="13" spans="1:6" x14ac:dyDescent="0.4">
      <c r="A13" s="37">
        <v>9</v>
      </c>
      <c r="B13" s="37" t="s">
        <v>91</v>
      </c>
      <c r="C13" s="37" t="s">
        <v>92</v>
      </c>
      <c r="D13" s="37" t="s">
        <v>93</v>
      </c>
      <c r="E13" s="38">
        <v>810</v>
      </c>
      <c r="F13" s="38"/>
    </row>
    <row r="14" spans="1:6" x14ac:dyDescent="0.4">
      <c r="A14" s="37">
        <v>10</v>
      </c>
      <c r="B14" s="37" t="s">
        <v>94</v>
      </c>
      <c r="C14" s="37" t="s">
        <v>95</v>
      </c>
      <c r="D14" s="37" t="s">
        <v>96</v>
      </c>
      <c r="E14" s="38">
        <v>490</v>
      </c>
      <c r="F14" s="38"/>
    </row>
    <row r="15" spans="1:6" x14ac:dyDescent="0.4">
      <c r="A15" s="37">
        <v>11</v>
      </c>
      <c r="B15" s="37" t="s">
        <v>37</v>
      </c>
      <c r="C15" s="37" t="s">
        <v>97</v>
      </c>
      <c r="D15" s="37" t="s">
        <v>76</v>
      </c>
      <c r="E15" s="38">
        <v>555</v>
      </c>
      <c r="F15" s="38"/>
    </row>
    <row r="16" spans="1:6" x14ac:dyDescent="0.4">
      <c r="A16" s="37">
        <v>12</v>
      </c>
      <c r="B16" s="37" t="s">
        <v>39</v>
      </c>
      <c r="C16" s="37" t="s">
        <v>98</v>
      </c>
      <c r="D16" s="37" t="s">
        <v>77</v>
      </c>
      <c r="E16" s="38">
        <v>675</v>
      </c>
      <c r="F16" s="38"/>
    </row>
    <row r="17" spans="1:6" x14ac:dyDescent="0.4">
      <c r="A17" s="37">
        <v>13</v>
      </c>
      <c r="B17" s="37" t="s">
        <v>41</v>
      </c>
      <c r="C17" s="37" t="s">
        <v>99</v>
      </c>
      <c r="D17" s="37" t="s">
        <v>78</v>
      </c>
      <c r="E17" s="38">
        <v>405</v>
      </c>
      <c r="F17" s="38"/>
    </row>
    <row r="18" spans="1:6" x14ac:dyDescent="0.4">
      <c r="A18" s="37">
        <v>14</v>
      </c>
      <c r="B18" s="37" t="s">
        <v>43</v>
      </c>
      <c r="C18" s="37" t="s">
        <v>100</v>
      </c>
      <c r="D18" s="37" t="s">
        <v>79</v>
      </c>
      <c r="E18" s="38">
        <v>525</v>
      </c>
      <c r="F18" s="38"/>
    </row>
    <row r="19" spans="1:6" x14ac:dyDescent="0.4">
      <c r="A19" s="37">
        <v>15</v>
      </c>
      <c r="B19" s="37" t="s">
        <v>80</v>
      </c>
      <c r="C19" s="37" t="s">
        <v>101</v>
      </c>
      <c r="D19" s="37" t="s">
        <v>81</v>
      </c>
      <c r="E19" s="38">
        <v>295</v>
      </c>
      <c r="F19" s="38"/>
    </row>
    <row r="20" spans="1:6" x14ac:dyDescent="0.4">
      <c r="A20" s="37">
        <v>16</v>
      </c>
      <c r="B20" s="37" t="s">
        <v>82</v>
      </c>
      <c r="C20" s="37" t="s">
        <v>102</v>
      </c>
      <c r="D20" s="37" t="s">
        <v>84</v>
      </c>
      <c r="E20" s="38">
        <v>760</v>
      </c>
      <c r="F20" s="38"/>
    </row>
    <row r="21" spans="1:6" x14ac:dyDescent="0.4">
      <c r="A21" s="37">
        <v>17</v>
      </c>
      <c r="B21" s="37" t="s">
        <v>85</v>
      </c>
      <c r="C21" s="37" t="s">
        <v>103</v>
      </c>
      <c r="D21" s="37" t="s">
        <v>87</v>
      </c>
      <c r="E21" s="38">
        <v>445</v>
      </c>
      <c r="F21" s="38"/>
    </row>
    <row r="22" spans="1:6" x14ac:dyDescent="0.4">
      <c r="A22" s="37">
        <v>18</v>
      </c>
      <c r="B22" s="37" t="s">
        <v>88</v>
      </c>
      <c r="C22" s="37" t="s">
        <v>104</v>
      </c>
      <c r="D22" s="37" t="s">
        <v>90</v>
      </c>
      <c r="E22" s="38">
        <v>615</v>
      </c>
      <c r="F22" s="38"/>
    </row>
    <row r="23" spans="1:6" x14ac:dyDescent="0.4">
      <c r="A23" s="37">
        <v>19</v>
      </c>
      <c r="B23" s="37" t="s">
        <v>91</v>
      </c>
      <c r="C23" s="37" t="s">
        <v>105</v>
      </c>
      <c r="D23" s="37" t="s">
        <v>93</v>
      </c>
      <c r="E23" s="38">
        <v>370</v>
      </c>
      <c r="F23" s="38"/>
    </row>
    <row r="24" spans="1:6" x14ac:dyDescent="0.4">
      <c r="A24" s="37">
        <v>20</v>
      </c>
      <c r="B24" s="37" t="s">
        <v>94</v>
      </c>
      <c r="C24" s="37" t="s">
        <v>106</v>
      </c>
      <c r="D24" s="37" t="s">
        <v>96</v>
      </c>
      <c r="E24" s="38">
        <v>835</v>
      </c>
      <c r="F24" s="38"/>
    </row>
    <row r="25" spans="1:6" x14ac:dyDescent="0.4">
      <c r="A25" s="37">
        <v>21</v>
      </c>
      <c r="B25" s="37" t="s">
        <v>37</v>
      </c>
      <c r="C25" s="37" t="s">
        <v>38</v>
      </c>
      <c r="D25" s="37" t="s">
        <v>76</v>
      </c>
      <c r="E25" s="38">
        <v>480</v>
      </c>
      <c r="F25" s="38"/>
    </row>
    <row r="26" spans="1:6" x14ac:dyDescent="0.4">
      <c r="A26" s="37">
        <v>22</v>
      </c>
      <c r="B26" s="37" t="s">
        <v>39</v>
      </c>
      <c r="C26" s="37" t="s">
        <v>40</v>
      </c>
      <c r="D26" s="37" t="s">
        <v>77</v>
      </c>
      <c r="E26" s="38">
        <v>590</v>
      </c>
      <c r="F26" s="38"/>
    </row>
    <row r="27" spans="1:6" x14ac:dyDescent="0.4">
      <c r="A27" s="37">
        <v>23</v>
      </c>
      <c r="B27" s="37" t="s">
        <v>41</v>
      </c>
      <c r="C27" s="37" t="s">
        <v>42</v>
      </c>
      <c r="D27" s="37" t="s">
        <v>78</v>
      </c>
      <c r="E27" s="38">
        <v>325</v>
      </c>
      <c r="F27" s="38"/>
    </row>
    <row r="28" spans="1:6" x14ac:dyDescent="0.4">
      <c r="A28" s="37">
        <v>24</v>
      </c>
      <c r="B28" s="37" t="s">
        <v>43</v>
      </c>
      <c r="C28" s="37" t="s">
        <v>44</v>
      </c>
      <c r="D28" s="37" t="s">
        <v>79</v>
      </c>
      <c r="E28" s="38">
        <v>705</v>
      </c>
      <c r="F28" s="38"/>
    </row>
    <row r="29" spans="1:6" x14ac:dyDescent="0.4">
      <c r="A29" s="37">
        <v>25</v>
      </c>
      <c r="B29" s="37" t="s">
        <v>80</v>
      </c>
      <c r="C29" s="37" t="s">
        <v>45</v>
      </c>
      <c r="D29" s="37" t="s">
        <v>81</v>
      </c>
      <c r="E29" s="38">
        <v>515</v>
      </c>
      <c r="F29" s="38"/>
    </row>
    <row r="30" spans="1:6" x14ac:dyDescent="0.4">
      <c r="A30" s="37">
        <v>26</v>
      </c>
      <c r="B30" s="37" t="s">
        <v>82</v>
      </c>
      <c r="C30" s="37" t="s">
        <v>83</v>
      </c>
      <c r="D30" s="37" t="s">
        <v>84</v>
      </c>
      <c r="E30" s="38">
        <v>420</v>
      </c>
      <c r="F30" s="38"/>
    </row>
    <row r="31" spans="1:6" x14ac:dyDescent="0.4">
      <c r="A31" s="37">
        <v>27</v>
      </c>
      <c r="B31" s="37" t="s">
        <v>85</v>
      </c>
      <c r="C31" s="37" t="s">
        <v>86</v>
      </c>
      <c r="D31" s="37" t="s">
        <v>87</v>
      </c>
      <c r="E31" s="38">
        <v>645</v>
      </c>
      <c r="F31" s="38"/>
    </row>
    <row r="32" spans="1:6" x14ac:dyDescent="0.4">
      <c r="A32" s="37">
        <v>28</v>
      </c>
      <c r="B32" s="37" t="s">
        <v>88</v>
      </c>
      <c r="C32" s="37" t="s">
        <v>89</v>
      </c>
      <c r="D32" s="37" t="s">
        <v>90</v>
      </c>
      <c r="E32" s="38">
        <v>285</v>
      </c>
      <c r="F32" s="38"/>
    </row>
    <row r="33" spans="1:6" x14ac:dyDescent="0.4">
      <c r="A33" s="37">
        <v>29</v>
      </c>
      <c r="B33" s="37" t="s">
        <v>91</v>
      </c>
      <c r="C33" s="37" t="s">
        <v>92</v>
      </c>
      <c r="D33" s="37" t="s">
        <v>93</v>
      </c>
      <c r="E33" s="38">
        <v>870</v>
      </c>
      <c r="F33" s="38"/>
    </row>
    <row r="34" spans="1:6" x14ac:dyDescent="0.4">
      <c r="A34" s="37">
        <v>30</v>
      </c>
      <c r="B34" s="37" t="s">
        <v>94</v>
      </c>
      <c r="C34" s="37" t="s">
        <v>95</v>
      </c>
      <c r="D34" s="37" t="s">
        <v>96</v>
      </c>
      <c r="E34" s="38">
        <v>535</v>
      </c>
      <c r="F34" s="38"/>
    </row>
    <row r="35" spans="1:6" x14ac:dyDescent="0.4">
      <c r="A35" s="37">
        <v>31</v>
      </c>
      <c r="B35" s="37" t="s">
        <v>37</v>
      </c>
      <c r="C35" s="37" t="s">
        <v>97</v>
      </c>
      <c r="D35" s="37" t="s">
        <v>76</v>
      </c>
      <c r="E35" s="38">
        <v>395</v>
      </c>
      <c r="F35" s="38"/>
    </row>
    <row r="36" spans="1:6" x14ac:dyDescent="0.4">
      <c r="A36" s="37">
        <v>32</v>
      </c>
      <c r="B36" s="37" t="s">
        <v>39</v>
      </c>
      <c r="C36" s="37" t="s">
        <v>98</v>
      </c>
      <c r="D36" s="37" t="s">
        <v>77</v>
      </c>
      <c r="E36" s="38">
        <v>780</v>
      </c>
      <c r="F36" s="38"/>
    </row>
    <row r="37" spans="1:6" x14ac:dyDescent="0.4">
      <c r="A37" s="37">
        <v>33</v>
      </c>
      <c r="B37" s="37" t="s">
        <v>41</v>
      </c>
      <c r="C37" s="37" t="s">
        <v>99</v>
      </c>
      <c r="D37" s="37" t="s">
        <v>78</v>
      </c>
      <c r="E37" s="38">
        <v>560</v>
      </c>
      <c r="F37" s="38"/>
    </row>
    <row r="38" spans="1:6" x14ac:dyDescent="0.4">
      <c r="A38" s="37">
        <v>34</v>
      </c>
      <c r="B38" s="37" t="s">
        <v>43</v>
      </c>
      <c r="C38" s="37" t="s">
        <v>100</v>
      </c>
      <c r="D38" s="37" t="s">
        <v>79</v>
      </c>
      <c r="E38" s="38">
        <v>455</v>
      </c>
      <c r="F38" s="38"/>
    </row>
    <row r="39" spans="1:6" x14ac:dyDescent="0.4">
      <c r="A39" s="37">
        <v>35</v>
      </c>
      <c r="B39" s="37" t="s">
        <v>80</v>
      </c>
      <c r="C39" s="37" t="s">
        <v>101</v>
      </c>
      <c r="D39" s="37" t="s">
        <v>81</v>
      </c>
      <c r="E39" s="38">
        <v>690</v>
      </c>
      <c r="F39" s="38"/>
    </row>
    <row r="40" spans="1:6" x14ac:dyDescent="0.4">
      <c r="A40" s="37">
        <v>36</v>
      </c>
      <c r="B40" s="37" t="s">
        <v>82</v>
      </c>
      <c r="C40" s="37" t="s">
        <v>102</v>
      </c>
      <c r="D40" s="37" t="s">
        <v>84</v>
      </c>
      <c r="E40" s="38">
        <v>310</v>
      </c>
      <c r="F40" s="38"/>
    </row>
    <row r="41" spans="1:6" x14ac:dyDescent="0.4">
      <c r="A41" s="37">
        <v>37</v>
      </c>
      <c r="B41" s="37" t="s">
        <v>85</v>
      </c>
      <c r="C41" s="37" t="s">
        <v>103</v>
      </c>
      <c r="D41" s="37" t="s">
        <v>87</v>
      </c>
      <c r="E41" s="38">
        <v>745</v>
      </c>
      <c r="F41" s="38"/>
    </row>
    <row r="42" spans="1:6" x14ac:dyDescent="0.4">
      <c r="A42" s="37">
        <v>38</v>
      </c>
      <c r="B42" s="37" t="s">
        <v>88</v>
      </c>
      <c r="C42" s="37" t="s">
        <v>104</v>
      </c>
      <c r="D42" s="37" t="s">
        <v>90</v>
      </c>
      <c r="E42" s="38">
        <v>475</v>
      </c>
      <c r="F42" s="38"/>
    </row>
    <row r="43" spans="1:6" x14ac:dyDescent="0.4">
      <c r="A43" s="37">
        <v>39</v>
      </c>
      <c r="B43" s="37" t="s">
        <v>91</v>
      </c>
      <c r="C43" s="37" t="s">
        <v>105</v>
      </c>
      <c r="D43" s="37" t="s">
        <v>93</v>
      </c>
      <c r="E43" s="38">
        <v>605</v>
      </c>
      <c r="F43" s="38"/>
    </row>
    <row r="44" spans="1:6" x14ac:dyDescent="0.4">
      <c r="A44" s="37">
        <v>40</v>
      </c>
      <c r="B44" s="37" t="s">
        <v>94</v>
      </c>
      <c r="C44" s="37" t="s">
        <v>106</v>
      </c>
      <c r="D44" s="37" t="s">
        <v>96</v>
      </c>
      <c r="E44" s="38">
        <v>350</v>
      </c>
      <c r="F44" s="38"/>
    </row>
  </sheetData>
  <mergeCells count="1">
    <mergeCell ref="A2:F2"/>
  </mergeCells>
  <phoneticPr fontId="2"/>
  <pageMargins left="0.25" right="0.25" top="0.5" bottom="0.5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workbookViewId="0"/>
  </sheetViews>
  <sheetFormatPr defaultRowHeight="18.75" x14ac:dyDescent="0.4"/>
  <cols>
    <col min="1" max="1" width="5.875" style="10" customWidth="1"/>
    <col min="2" max="2" width="21" style="10" customWidth="1"/>
    <col min="3" max="5" width="10.25" style="10" customWidth="1"/>
    <col min="6" max="6" width="12.125" style="10" customWidth="1"/>
    <col min="7" max="8" width="10.25" style="10" customWidth="1"/>
    <col min="9" max="9" width="15.25" style="10" customWidth="1"/>
    <col min="10" max="16384" width="9" style="10"/>
  </cols>
  <sheetData>
    <row r="1" spans="1:18" customFormat="1" ht="15.75" customHeight="1" thickBot="1" x14ac:dyDescent="0.45"/>
    <row r="2" spans="1:18" ht="30.75" customHeight="1" thickTop="1" thickBot="1" x14ac:dyDescent="0.45">
      <c r="A2" s="23" t="s">
        <v>154</v>
      </c>
      <c r="B2" s="24"/>
      <c r="C2" s="24"/>
      <c r="D2" s="24"/>
      <c r="E2" s="24"/>
      <c r="F2" s="24"/>
      <c r="G2" s="24"/>
      <c r="H2" s="24"/>
      <c r="I2" s="24"/>
    </row>
    <row r="3" spans="1:18" ht="20.25" thickTop="1" thickBot="1" x14ac:dyDescent="0.45"/>
    <row r="4" spans="1:18" ht="27.75" customHeight="1" thickTop="1" thickBot="1" x14ac:dyDescent="0.45">
      <c r="B4" s="30" t="s">
        <v>152</v>
      </c>
      <c r="C4" s="31">
        <v>50</v>
      </c>
    </row>
    <row r="5" spans="1:18" ht="13.5" customHeight="1" thickTop="1" x14ac:dyDescent="0.4"/>
    <row r="6" spans="1:18" s="22" customFormat="1" ht="26.25" customHeight="1" x14ac:dyDescent="0.4">
      <c r="A6" s="32" t="s">
        <v>0</v>
      </c>
      <c r="B6" s="32" t="s">
        <v>108</v>
      </c>
      <c r="C6" s="32" t="s">
        <v>20</v>
      </c>
      <c r="D6" s="32" t="s">
        <v>109</v>
      </c>
      <c r="E6" s="32" t="s">
        <v>110</v>
      </c>
      <c r="F6" s="32" t="s">
        <v>111</v>
      </c>
      <c r="G6" s="32" t="s">
        <v>112</v>
      </c>
      <c r="H6" s="32" t="s">
        <v>113</v>
      </c>
      <c r="I6" s="33" t="s">
        <v>156</v>
      </c>
      <c r="J6" s="20"/>
      <c r="K6" s="21"/>
      <c r="L6" s="21"/>
      <c r="M6" s="20"/>
      <c r="N6" s="20"/>
      <c r="O6" s="21"/>
      <c r="P6" s="20"/>
      <c r="Q6" s="20"/>
    </row>
    <row r="7" spans="1:18" x14ac:dyDescent="0.4">
      <c r="A7" s="34">
        <v>1</v>
      </c>
      <c r="B7" s="34" t="s">
        <v>114</v>
      </c>
      <c r="C7" s="34" t="s">
        <v>115</v>
      </c>
      <c r="D7" s="34">
        <v>120</v>
      </c>
      <c r="E7" s="35">
        <v>0.08</v>
      </c>
      <c r="F7" s="34"/>
      <c r="G7" s="19">
        <v>380</v>
      </c>
      <c r="H7" s="19">
        <v>50</v>
      </c>
      <c r="I7" s="19"/>
      <c r="J7" s="1"/>
      <c r="K7" s="2"/>
      <c r="L7" s="2"/>
      <c r="M7" s="1"/>
      <c r="N7" s="4"/>
      <c r="O7" s="2"/>
      <c r="P7" s="1"/>
      <c r="Q7" s="1"/>
      <c r="R7" s="1"/>
    </row>
    <row r="8" spans="1:18" x14ac:dyDescent="0.4">
      <c r="A8" s="16">
        <v>2</v>
      </c>
      <c r="B8" s="16" t="s">
        <v>77</v>
      </c>
      <c r="C8" s="16" t="s">
        <v>116</v>
      </c>
      <c r="D8" s="16">
        <v>85</v>
      </c>
      <c r="E8" s="17">
        <v>0.18</v>
      </c>
      <c r="F8" s="16"/>
      <c r="G8" s="18">
        <v>420</v>
      </c>
      <c r="H8" s="18">
        <v>40</v>
      </c>
      <c r="I8" s="19"/>
      <c r="J8" s="1"/>
      <c r="K8" s="2"/>
      <c r="L8" s="2"/>
      <c r="M8" s="1"/>
      <c r="N8" s="4"/>
      <c r="O8" s="2"/>
      <c r="P8" s="1"/>
      <c r="Q8" s="1"/>
      <c r="R8" s="1"/>
    </row>
    <row r="9" spans="1:18" x14ac:dyDescent="0.4">
      <c r="A9" s="16">
        <v>3</v>
      </c>
      <c r="B9" s="16" t="s">
        <v>79</v>
      </c>
      <c r="C9" s="16" t="s">
        <v>115</v>
      </c>
      <c r="D9" s="16">
        <v>65</v>
      </c>
      <c r="E9" s="17">
        <v>0.1</v>
      </c>
      <c r="F9" s="16"/>
      <c r="G9" s="18">
        <v>560</v>
      </c>
      <c r="H9" s="18">
        <v>30</v>
      </c>
      <c r="I9" s="19"/>
      <c r="J9" s="1"/>
      <c r="K9" s="2"/>
      <c r="L9" s="2"/>
      <c r="M9" s="1"/>
      <c r="N9" s="4"/>
      <c r="O9" s="2"/>
      <c r="P9" s="1"/>
      <c r="Q9" s="1"/>
      <c r="R9" s="1"/>
    </row>
    <row r="10" spans="1:18" x14ac:dyDescent="0.4">
      <c r="A10" s="16">
        <v>4</v>
      </c>
      <c r="B10" s="16" t="s">
        <v>117</v>
      </c>
      <c r="C10" s="16" t="s">
        <v>118</v>
      </c>
      <c r="D10" s="16">
        <v>48</v>
      </c>
      <c r="E10" s="17">
        <v>0.22</v>
      </c>
      <c r="F10" s="16"/>
      <c r="G10" s="18">
        <v>680</v>
      </c>
      <c r="H10" s="18">
        <v>25</v>
      </c>
      <c r="I10" s="19"/>
    </row>
    <row r="11" spans="1:18" x14ac:dyDescent="0.4">
      <c r="A11" s="16">
        <v>5</v>
      </c>
      <c r="B11" s="16" t="s">
        <v>119</v>
      </c>
      <c r="C11" s="16" t="s">
        <v>120</v>
      </c>
      <c r="D11" s="16">
        <v>102</v>
      </c>
      <c r="E11" s="17">
        <v>0.12</v>
      </c>
      <c r="F11" s="16"/>
      <c r="G11" s="18">
        <v>520</v>
      </c>
      <c r="H11" s="18">
        <v>40</v>
      </c>
      <c r="I11" s="19"/>
    </row>
    <row r="12" spans="1:18" x14ac:dyDescent="0.4">
      <c r="A12" s="16">
        <v>6</v>
      </c>
      <c r="B12" s="16" t="s">
        <v>121</v>
      </c>
      <c r="C12" s="16" t="s">
        <v>120</v>
      </c>
      <c r="D12" s="16">
        <v>140</v>
      </c>
      <c r="E12" s="17">
        <v>0.3</v>
      </c>
      <c r="F12" s="16"/>
      <c r="G12" s="18">
        <v>260</v>
      </c>
      <c r="H12" s="18">
        <v>60</v>
      </c>
      <c r="I12" s="19"/>
    </row>
    <row r="13" spans="1:18" x14ac:dyDescent="0.4">
      <c r="A13" s="16">
        <v>7</v>
      </c>
      <c r="B13" s="16" t="s">
        <v>122</v>
      </c>
      <c r="C13" s="16" t="s">
        <v>120</v>
      </c>
      <c r="D13" s="16">
        <v>155</v>
      </c>
      <c r="E13" s="17">
        <v>0.09</v>
      </c>
      <c r="F13" s="16"/>
      <c r="G13" s="18">
        <v>180</v>
      </c>
      <c r="H13" s="18">
        <v>80</v>
      </c>
      <c r="I13" s="19"/>
    </row>
    <row r="14" spans="1:18" x14ac:dyDescent="0.4">
      <c r="A14" s="16">
        <v>8</v>
      </c>
      <c r="B14" s="16" t="s">
        <v>123</v>
      </c>
      <c r="C14" s="16" t="s">
        <v>115</v>
      </c>
      <c r="D14" s="16">
        <v>98</v>
      </c>
      <c r="E14" s="17">
        <v>0.14000000000000001</v>
      </c>
      <c r="F14" s="16"/>
      <c r="G14" s="18">
        <v>620</v>
      </c>
      <c r="H14" s="18">
        <v>30</v>
      </c>
      <c r="I14" s="19"/>
    </row>
    <row r="15" spans="1:18" x14ac:dyDescent="0.4">
      <c r="A15" s="16">
        <v>9</v>
      </c>
      <c r="B15" s="16" t="s">
        <v>124</v>
      </c>
      <c r="C15" s="16" t="s">
        <v>115</v>
      </c>
      <c r="D15" s="16">
        <v>70</v>
      </c>
      <c r="E15" s="17">
        <v>7.0000000000000007E-2</v>
      </c>
      <c r="F15" s="16"/>
      <c r="G15" s="18">
        <v>740</v>
      </c>
      <c r="H15" s="18">
        <v>25</v>
      </c>
      <c r="I15" s="19"/>
    </row>
    <row r="16" spans="1:18" x14ac:dyDescent="0.4">
      <c r="A16" s="16">
        <v>10</v>
      </c>
      <c r="B16" s="16" t="s">
        <v>125</v>
      </c>
      <c r="C16" s="16" t="s">
        <v>115</v>
      </c>
      <c r="D16" s="16">
        <v>112</v>
      </c>
      <c r="E16" s="17">
        <v>0.16</v>
      </c>
      <c r="F16" s="16"/>
      <c r="G16" s="18">
        <v>410</v>
      </c>
      <c r="H16" s="18">
        <v>35</v>
      </c>
      <c r="I16" s="19"/>
    </row>
    <row r="17" spans="1:9" x14ac:dyDescent="0.4">
      <c r="A17" s="16">
        <v>11</v>
      </c>
      <c r="B17" s="16" t="s">
        <v>126</v>
      </c>
      <c r="C17" s="16" t="s">
        <v>127</v>
      </c>
      <c r="D17" s="16">
        <v>92</v>
      </c>
      <c r="E17" s="17">
        <v>0.11</v>
      </c>
      <c r="F17" s="16"/>
      <c r="G17" s="18">
        <v>530</v>
      </c>
      <c r="H17" s="18">
        <v>28</v>
      </c>
      <c r="I17" s="19"/>
    </row>
    <row r="18" spans="1:9" x14ac:dyDescent="0.4">
      <c r="A18" s="16">
        <v>12</v>
      </c>
      <c r="B18" s="16" t="s">
        <v>84</v>
      </c>
      <c r="C18" s="16" t="s">
        <v>127</v>
      </c>
      <c r="D18" s="16">
        <v>135</v>
      </c>
      <c r="E18" s="17">
        <v>0.25</v>
      </c>
      <c r="F18" s="16"/>
      <c r="G18" s="18">
        <v>1320</v>
      </c>
      <c r="H18" s="18">
        <v>20</v>
      </c>
      <c r="I18" s="19"/>
    </row>
    <row r="19" spans="1:9" x14ac:dyDescent="0.4">
      <c r="A19" s="16">
        <v>13</v>
      </c>
      <c r="B19" s="16" t="s">
        <v>96</v>
      </c>
      <c r="C19" s="16" t="s">
        <v>116</v>
      </c>
      <c r="D19" s="16">
        <v>75</v>
      </c>
      <c r="E19" s="17">
        <v>0.06</v>
      </c>
      <c r="F19" s="16"/>
      <c r="G19" s="18">
        <v>690</v>
      </c>
      <c r="H19" s="18">
        <v>24</v>
      </c>
      <c r="I19" s="19"/>
    </row>
    <row r="20" spans="1:9" x14ac:dyDescent="0.4">
      <c r="A20" s="16">
        <v>14</v>
      </c>
      <c r="B20" s="16" t="s">
        <v>90</v>
      </c>
      <c r="C20" s="16" t="s">
        <v>116</v>
      </c>
      <c r="D20" s="16">
        <v>88</v>
      </c>
      <c r="E20" s="17">
        <v>0.19</v>
      </c>
      <c r="F20" s="16"/>
      <c r="G20" s="18">
        <v>510</v>
      </c>
      <c r="H20" s="18">
        <v>30</v>
      </c>
      <c r="I20" s="19"/>
    </row>
    <row r="21" spans="1:9" x14ac:dyDescent="0.4">
      <c r="A21" s="16">
        <v>15</v>
      </c>
      <c r="B21" s="16" t="s">
        <v>93</v>
      </c>
      <c r="C21" s="16" t="s">
        <v>128</v>
      </c>
      <c r="D21" s="16">
        <v>42</v>
      </c>
      <c r="E21" s="17">
        <v>0.12</v>
      </c>
      <c r="F21" s="16"/>
      <c r="G21" s="18">
        <v>1980</v>
      </c>
      <c r="H21" s="18">
        <v>18</v>
      </c>
      <c r="I21" s="19"/>
    </row>
    <row r="22" spans="1:9" x14ac:dyDescent="0.4">
      <c r="A22" s="16">
        <v>16</v>
      </c>
      <c r="B22" s="16" t="s">
        <v>129</v>
      </c>
      <c r="C22" s="16" t="s">
        <v>128</v>
      </c>
      <c r="D22" s="16">
        <v>61</v>
      </c>
      <c r="E22" s="17">
        <v>0.05</v>
      </c>
      <c r="F22" s="16"/>
      <c r="G22" s="18">
        <v>1250</v>
      </c>
      <c r="H22" s="18">
        <v>15</v>
      </c>
      <c r="I22" s="19"/>
    </row>
    <row r="23" spans="1:9" x14ac:dyDescent="0.4">
      <c r="A23" s="16">
        <v>17</v>
      </c>
      <c r="B23" s="16" t="s">
        <v>130</v>
      </c>
      <c r="C23" s="16" t="s">
        <v>131</v>
      </c>
      <c r="D23" s="16">
        <v>58</v>
      </c>
      <c r="E23" s="17">
        <v>0.21</v>
      </c>
      <c r="F23" s="16"/>
      <c r="G23" s="18">
        <v>1680</v>
      </c>
      <c r="H23" s="18">
        <v>12</v>
      </c>
      <c r="I23" s="19"/>
    </row>
    <row r="24" spans="1:9" x14ac:dyDescent="0.4">
      <c r="A24" s="16">
        <v>18</v>
      </c>
      <c r="B24" s="16" t="s">
        <v>132</v>
      </c>
      <c r="C24" s="16" t="s">
        <v>131</v>
      </c>
      <c r="D24" s="16">
        <v>84</v>
      </c>
      <c r="E24" s="17">
        <v>0.13</v>
      </c>
      <c r="F24" s="16"/>
      <c r="G24" s="18">
        <v>480</v>
      </c>
      <c r="H24" s="18">
        <v>22</v>
      </c>
      <c r="I24" s="19"/>
    </row>
    <row r="25" spans="1:9" x14ac:dyDescent="0.4">
      <c r="A25" s="16">
        <v>19</v>
      </c>
      <c r="B25" s="16" t="s">
        <v>133</v>
      </c>
      <c r="C25" s="16" t="s">
        <v>127</v>
      </c>
      <c r="D25" s="16">
        <v>79</v>
      </c>
      <c r="E25" s="17">
        <v>0.08</v>
      </c>
      <c r="F25" s="16"/>
      <c r="G25" s="18">
        <v>570</v>
      </c>
      <c r="H25" s="18">
        <v>25</v>
      </c>
      <c r="I25" s="19"/>
    </row>
    <row r="26" spans="1:9" x14ac:dyDescent="0.4">
      <c r="A26" s="16">
        <v>20</v>
      </c>
      <c r="B26" s="16" t="s">
        <v>134</v>
      </c>
      <c r="C26" s="16" t="s">
        <v>116</v>
      </c>
      <c r="D26" s="16">
        <v>95</v>
      </c>
      <c r="E26" s="17">
        <v>0.27</v>
      </c>
      <c r="F26" s="16"/>
      <c r="G26" s="18">
        <v>2840</v>
      </c>
      <c r="H26" s="18">
        <v>20</v>
      </c>
      <c r="I26" s="19"/>
    </row>
    <row r="27" spans="1:9" x14ac:dyDescent="0.4">
      <c r="A27" s="16">
        <v>21</v>
      </c>
      <c r="B27" s="16" t="s">
        <v>135</v>
      </c>
      <c r="C27" s="16" t="s">
        <v>116</v>
      </c>
      <c r="D27" s="16">
        <v>145</v>
      </c>
      <c r="E27" s="17">
        <v>0.1</v>
      </c>
      <c r="F27" s="16"/>
      <c r="G27" s="18">
        <v>260</v>
      </c>
      <c r="H27" s="18">
        <v>50</v>
      </c>
      <c r="I27" s="19"/>
    </row>
    <row r="28" spans="1:9" x14ac:dyDescent="0.4">
      <c r="A28" s="16">
        <v>22</v>
      </c>
      <c r="B28" s="16" t="s">
        <v>136</v>
      </c>
      <c r="C28" s="16" t="s">
        <v>115</v>
      </c>
      <c r="D28" s="16">
        <v>110</v>
      </c>
      <c r="E28" s="17">
        <v>0.17</v>
      </c>
      <c r="F28" s="16"/>
      <c r="G28" s="18">
        <v>340</v>
      </c>
      <c r="H28" s="18">
        <v>35</v>
      </c>
      <c r="I28" s="19"/>
    </row>
    <row r="29" spans="1:9" x14ac:dyDescent="0.4">
      <c r="A29" s="16">
        <v>23</v>
      </c>
      <c r="B29" s="16" t="s">
        <v>137</v>
      </c>
      <c r="C29" s="16" t="s">
        <v>138</v>
      </c>
      <c r="D29" s="16">
        <v>156</v>
      </c>
      <c r="E29" s="17">
        <v>0.06</v>
      </c>
      <c r="F29" s="16"/>
      <c r="G29" s="18">
        <v>180</v>
      </c>
      <c r="H29" s="18">
        <v>60</v>
      </c>
      <c r="I29" s="19"/>
    </row>
    <row r="30" spans="1:9" x14ac:dyDescent="0.4">
      <c r="A30" s="16">
        <v>24</v>
      </c>
      <c r="B30" s="16" t="s">
        <v>139</v>
      </c>
      <c r="C30" s="16" t="s">
        <v>138</v>
      </c>
      <c r="D30" s="16">
        <v>97</v>
      </c>
      <c r="E30" s="17">
        <v>0.24</v>
      </c>
      <c r="F30" s="16"/>
      <c r="G30" s="18">
        <v>240</v>
      </c>
      <c r="H30" s="18">
        <v>40</v>
      </c>
      <c r="I30" s="19"/>
    </row>
    <row r="31" spans="1:9" x14ac:dyDescent="0.4">
      <c r="A31" s="16">
        <v>25</v>
      </c>
      <c r="B31" s="16" t="s">
        <v>140</v>
      </c>
      <c r="C31" s="16" t="s">
        <v>141</v>
      </c>
      <c r="D31" s="16">
        <v>72</v>
      </c>
      <c r="E31" s="17">
        <v>0.09</v>
      </c>
      <c r="F31" s="16"/>
      <c r="G31" s="18">
        <v>610</v>
      </c>
      <c r="H31" s="18">
        <v>22</v>
      </c>
      <c r="I31" s="19"/>
    </row>
    <row r="32" spans="1:9" x14ac:dyDescent="0.4">
      <c r="A32" s="16">
        <v>26</v>
      </c>
      <c r="B32" s="16" t="s">
        <v>142</v>
      </c>
      <c r="C32" s="16" t="s">
        <v>143</v>
      </c>
      <c r="D32" s="16">
        <v>104</v>
      </c>
      <c r="E32" s="17">
        <v>0.15</v>
      </c>
      <c r="F32" s="16"/>
      <c r="G32" s="18">
        <v>390</v>
      </c>
      <c r="H32" s="18">
        <v>30</v>
      </c>
      <c r="I32" s="19"/>
    </row>
    <row r="33" spans="1:9" x14ac:dyDescent="0.4">
      <c r="A33" s="16">
        <v>27</v>
      </c>
      <c r="B33" s="16" t="s">
        <v>144</v>
      </c>
      <c r="C33" s="16" t="s">
        <v>143</v>
      </c>
      <c r="D33" s="16">
        <v>68</v>
      </c>
      <c r="E33" s="17">
        <v>0.11</v>
      </c>
      <c r="F33" s="16"/>
      <c r="G33" s="18">
        <v>890</v>
      </c>
      <c r="H33" s="18">
        <v>18</v>
      </c>
      <c r="I33" s="19"/>
    </row>
    <row r="34" spans="1:9" x14ac:dyDescent="0.4">
      <c r="A34" s="16">
        <v>28</v>
      </c>
      <c r="B34" s="16" t="s">
        <v>145</v>
      </c>
      <c r="C34" s="16" t="s">
        <v>143</v>
      </c>
      <c r="D34" s="16">
        <v>54</v>
      </c>
      <c r="E34" s="17">
        <v>0.28000000000000003</v>
      </c>
      <c r="F34" s="16"/>
      <c r="G34" s="18">
        <v>1120</v>
      </c>
      <c r="H34" s="18">
        <v>15</v>
      </c>
      <c r="I34" s="19"/>
    </row>
    <row r="35" spans="1:9" x14ac:dyDescent="0.4">
      <c r="A35" s="16">
        <v>29</v>
      </c>
      <c r="B35" s="16" t="s">
        <v>146</v>
      </c>
      <c r="C35" s="16" t="s">
        <v>147</v>
      </c>
      <c r="D35" s="16">
        <v>170</v>
      </c>
      <c r="E35" s="17">
        <v>7.0000000000000007E-2</v>
      </c>
      <c r="F35" s="16"/>
      <c r="G35" s="18">
        <v>290</v>
      </c>
      <c r="H35" s="18">
        <v>45</v>
      </c>
      <c r="I35" s="19"/>
    </row>
    <row r="36" spans="1:9" x14ac:dyDescent="0.4">
      <c r="A36" s="34">
        <v>30</v>
      </c>
      <c r="B36" s="34" t="s">
        <v>148</v>
      </c>
      <c r="C36" s="34" t="s">
        <v>149</v>
      </c>
      <c r="D36" s="34">
        <v>138</v>
      </c>
      <c r="E36" s="35">
        <v>0.2</v>
      </c>
      <c r="F36" s="34"/>
      <c r="G36" s="19">
        <v>430</v>
      </c>
      <c r="H36" s="19">
        <v>32</v>
      </c>
      <c r="I36" s="19"/>
    </row>
  </sheetData>
  <phoneticPr fontId="2"/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8"/>
  <sheetViews>
    <sheetView workbookViewId="0"/>
  </sheetViews>
  <sheetFormatPr defaultRowHeight="18.75" x14ac:dyDescent="0.4"/>
  <cols>
    <col min="1" max="1" width="2.75" style="10" customWidth="1"/>
    <col min="2" max="2" width="8.875" style="10" customWidth="1"/>
    <col min="3" max="3" width="14.375" style="10" customWidth="1"/>
    <col min="4" max="5" width="12" style="10" customWidth="1"/>
    <col min="6" max="6" width="12.625" style="10" customWidth="1"/>
    <col min="7" max="7" width="17" style="10" customWidth="1"/>
    <col min="8" max="8" width="17.375" style="10" customWidth="1"/>
    <col min="9" max="16384" width="9" style="10"/>
  </cols>
  <sheetData>
    <row r="1" spans="2:8" ht="19.5" thickBot="1" x14ac:dyDescent="0.45"/>
    <row r="2" spans="2:8" ht="27.75" customHeight="1" thickTop="1" thickBot="1" x14ac:dyDescent="0.45">
      <c r="B2" s="55" t="s">
        <v>155</v>
      </c>
      <c r="C2" s="56"/>
      <c r="D2" s="56"/>
      <c r="E2" s="56"/>
      <c r="F2" s="56"/>
      <c r="G2" s="56"/>
      <c r="H2" s="57"/>
    </row>
    <row r="3" spans="2:8" ht="19.5" thickTop="1" x14ac:dyDescent="0.4"/>
    <row r="4" spans="2:8" s="22" customFormat="1" ht="26.1" customHeight="1" x14ac:dyDescent="0.4">
      <c r="B4" s="45" t="s">
        <v>0</v>
      </c>
      <c r="C4" s="46" t="s">
        <v>19</v>
      </c>
      <c r="D4" s="46" t="s">
        <v>21</v>
      </c>
      <c r="E4" s="46" t="s">
        <v>22</v>
      </c>
      <c r="F4" s="46" t="s">
        <v>23</v>
      </c>
      <c r="G4" s="46" t="s">
        <v>18</v>
      </c>
      <c r="H4" s="46" t="s">
        <v>24</v>
      </c>
    </row>
    <row r="5" spans="2:8" x14ac:dyDescent="0.4">
      <c r="B5" s="47">
        <v>1</v>
      </c>
      <c r="C5" s="48">
        <v>46204</v>
      </c>
      <c r="D5" s="49" cm="1">
        <f t="array" ref="D5:D18">_xlfn.SEQUENCE(14,1,9,0.5)/24</f>
        <v>0.375</v>
      </c>
      <c r="E5" s="50">
        <v>0.38541666666666669</v>
      </c>
      <c r="F5" s="47" t="s">
        <v>25</v>
      </c>
      <c r="G5" s="47" t="s">
        <v>4</v>
      </c>
      <c r="H5" s="47" t="s">
        <v>26</v>
      </c>
    </row>
    <row r="6" spans="2:8" x14ac:dyDescent="0.4">
      <c r="B6" s="47">
        <v>2</v>
      </c>
      <c r="C6" s="48">
        <v>46205</v>
      </c>
      <c r="D6" s="49">
        <v>0.39583333333333331</v>
      </c>
      <c r="E6" s="50">
        <v>0.39583333333333331</v>
      </c>
      <c r="F6" s="47" t="s">
        <v>27</v>
      </c>
      <c r="G6" s="47" t="s">
        <v>5</v>
      </c>
      <c r="H6" s="47" t="s">
        <v>28</v>
      </c>
    </row>
    <row r="7" spans="2:8" x14ac:dyDescent="0.4">
      <c r="B7" s="47">
        <v>3</v>
      </c>
      <c r="C7" s="48">
        <v>46206</v>
      </c>
      <c r="D7" s="49">
        <v>0.41666666666666669</v>
      </c>
      <c r="E7" s="50">
        <v>0.40625</v>
      </c>
      <c r="F7" s="47" t="s">
        <v>29</v>
      </c>
      <c r="G7" s="47" t="s">
        <v>6</v>
      </c>
      <c r="H7" s="47" t="s">
        <v>28</v>
      </c>
    </row>
    <row r="8" spans="2:8" x14ac:dyDescent="0.4">
      <c r="B8" s="47">
        <v>4</v>
      </c>
      <c r="C8" s="48">
        <v>46207</v>
      </c>
      <c r="D8" s="49">
        <v>0.4375</v>
      </c>
      <c r="E8" s="50">
        <v>0.41666666666666702</v>
      </c>
      <c r="F8" s="47" t="s">
        <v>29</v>
      </c>
      <c r="G8" s="47" t="s">
        <v>7</v>
      </c>
      <c r="H8" s="47" t="s">
        <v>30</v>
      </c>
    </row>
    <row r="9" spans="2:8" x14ac:dyDescent="0.4">
      <c r="B9" s="47">
        <v>5</v>
      </c>
      <c r="C9" s="48">
        <v>46208</v>
      </c>
      <c r="D9" s="49">
        <v>0.45833333333333331</v>
      </c>
      <c r="E9" s="50">
        <v>0.42708333333333298</v>
      </c>
      <c r="F9" s="47" t="s">
        <v>31</v>
      </c>
      <c r="G9" s="47" t="s">
        <v>8</v>
      </c>
      <c r="H9" s="47" t="s">
        <v>26</v>
      </c>
    </row>
    <row r="10" spans="2:8" x14ac:dyDescent="0.4">
      <c r="B10" s="47">
        <v>6</v>
      </c>
      <c r="C10" s="48">
        <v>46209</v>
      </c>
      <c r="D10" s="49">
        <v>0.47916666666666669</v>
      </c>
      <c r="E10" s="50">
        <v>0.4375</v>
      </c>
      <c r="F10" s="47" t="s">
        <v>29</v>
      </c>
      <c r="G10" s="47" t="s">
        <v>9</v>
      </c>
      <c r="H10" s="47" t="s">
        <v>26</v>
      </c>
    </row>
    <row r="11" spans="2:8" x14ac:dyDescent="0.4">
      <c r="B11" s="47">
        <v>7</v>
      </c>
      <c r="C11" s="48">
        <v>46210</v>
      </c>
      <c r="D11" s="49">
        <v>0.5</v>
      </c>
      <c r="E11" s="50">
        <v>0.44791666666666602</v>
      </c>
      <c r="F11" s="47" t="s">
        <v>29</v>
      </c>
      <c r="G11" s="47" t="s">
        <v>10</v>
      </c>
      <c r="H11" s="47" t="s">
        <v>30</v>
      </c>
    </row>
    <row r="12" spans="2:8" ht="19.5" x14ac:dyDescent="0.4">
      <c r="B12" s="47">
        <v>8</v>
      </c>
      <c r="C12" s="48">
        <v>46211</v>
      </c>
      <c r="D12" s="49">
        <v>0.52083333333333337</v>
      </c>
      <c r="E12" s="50">
        <v>0.45833333333333298</v>
      </c>
      <c r="F12" s="47" t="s">
        <v>32</v>
      </c>
      <c r="G12" s="51" t="s">
        <v>11</v>
      </c>
      <c r="H12" s="47" t="s">
        <v>33</v>
      </c>
    </row>
    <row r="13" spans="2:8" x14ac:dyDescent="0.4">
      <c r="B13" s="47">
        <v>9</v>
      </c>
      <c r="C13" s="48">
        <v>46212</v>
      </c>
      <c r="D13" s="49">
        <v>0.54166666666666663</v>
      </c>
      <c r="E13" s="50">
        <v>0.46875</v>
      </c>
      <c r="F13" s="47" t="s">
        <v>25</v>
      </c>
      <c r="G13" s="47" t="s">
        <v>12</v>
      </c>
      <c r="H13" s="47" t="s">
        <v>33</v>
      </c>
    </row>
    <row r="14" spans="2:8" x14ac:dyDescent="0.4">
      <c r="B14" s="47">
        <v>10</v>
      </c>
      <c r="C14" s="48">
        <v>46213</v>
      </c>
      <c r="D14" s="49">
        <v>0.5625</v>
      </c>
      <c r="E14" s="50">
        <v>0.47916666666666602</v>
      </c>
      <c r="F14" s="47" t="s">
        <v>29</v>
      </c>
      <c r="G14" s="47" t="s">
        <v>13</v>
      </c>
      <c r="H14" s="47" t="s">
        <v>30</v>
      </c>
    </row>
    <row r="15" spans="2:8" x14ac:dyDescent="0.4">
      <c r="B15" s="47">
        <v>11</v>
      </c>
      <c r="C15" s="48">
        <v>46214</v>
      </c>
      <c r="D15" s="49">
        <v>0.58333333333333337</v>
      </c>
      <c r="E15" s="50">
        <v>0.48958333333333298</v>
      </c>
      <c r="F15" s="47" t="s">
        <v>31</v>
      </c>
      <c r="G15" s="47" t="s">
        <v>14</v>
      </c>
      <c r="H15" s="47" t="s">
        <v>33</v>
      </c>
    </row>
    <row r="16" spans="2:8" x14ac:dyDescent="0.4">
      <c r="B16" s="47">
        <v>12</v>
      </c>
      <c r="C16" s="48">
        <v>46215</v>
      </c>
      <c r="D16" s="49">
        <v>0.60416666666666663</v>
      </c>
      <c r="E16" s="50">
        <v>0.5</v>
      </c>
      <c r="F16" s="47" t="s">
        <v>31</v>
      </c>
      <c r="G16" s="47" t="s">
        <v>15</v>
      </c>
      <c r="H16" s="47" t="s">
        <v>30</v>
      </c>
    </row>
    <row r="17" spans="2:8" x14ac:dyDescent="0.4">
      <c r="B17" s="47">
        <v>13</v>
      </c>
      <c r="C17" s="48">
        <v>46216</v>
      </c>
      <c r="D17" s="49">
        <v>0.625</v>
      </c>
      <c r="E17" s="50">
        <v>0.51041666666666696</v>
      </c>
      <c r="F17" s="47" t="s">
        <v>32</v>
      </c>
      <c r="G17" s="47" t="s">
        <v>16</v>
      </c>
      <c r="H17" s="47" t="s">
        <v>26</v>
      </c>
    </row>
    <row r="18" spans="2:8" x14ac:dyDescent="0.4">
      <c r="B18" s="47">
        <v>14</v>
      </c>
      <c r="C18" s="48">
        <v>46217</v>
      </c>
      <c r="D18" s="49">
        <v>0.64583333333333337</v>
      </c>
      <c r="E18" s="50">
        <v>0.52083333333333304</v>
      </c>
      <c r="F18" s="47" t="s">
        <v>29</v>
      </c>
      <c r="G18" s="47" t="s">
        <v>17</v>
      </c>
      <c r="H18" s="47" t="s">
        <v>26</v>
      </c>
    </row>
  </sheetData>
  <mergeCells count="1">
    <mergeCell ref="B2:H2"/>
  </mergeCells>
  <phoneticPr fontId="2"/>
  <pageMargins left="0.25" right="0.25" top="0.5" bottom="0.5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8"/>
  <sheetViews>
    <sheetView workbookViewId="0"/>
  </sheetViews>
  <sheetFormatPr defaultRowHeight="18.75" x14ac:dyDescent="0.4"/>
  <cols>
    <col min="1" max="1" width="6.375" style="10" customWidth="1"/>
    <col min="2" max="6" width="14" style="10" customWidth="1"/>
    <col min="7" max="7" width="9.75" style="10" customWidth="1"/>
    <col min="8" max="8" width="14" style="10" customWidth="1"/>
    <col min="9" max="9" width="19" style="10" bestFit="1" customWidth="1"/>
    <col min="10" max="10" width="12.25" style="10" customWidth="1"/>
    <col min="11" max="16384" width="9" style="10"/>
  </cols>
  <sheetData>
    <row r="2" spans="1:10" ht="20.25" thickBot="1" x14ac:dyDescent="0.45">
      <c r="A2" s="13" t="s">
        <v>157</v>
      </c>
      <c r="G2" s="52" t="s">
        <v>158</v>
      </c>
    </row>
    <row r="3" spans="1:10" s="5" customFormat="1" ht="19.5" thickBot="1" x14ac:dyDescent="0.45">
      <c r="A3" s="28" t="s">
        <v>0</v>
      </c>
      <c r="B3" s="28" t="s">
        <v>151</v>
      </c>
      <c r="C3" s="28" t="s">
        <v>74</v>
      </c>
      <c r="D3" s="28" t="s">
        <v>34</v>
      </c>
      <c r="G3" s="28" t="s">
        <v>0</v>
      </c>
      <c r="H3" s="28" t="s">
        <v>151</v>
      </c>
      <c r="I3" s="28" t="s">
        <v>74</v>
      </c>
      <c r="J3" s="28" t="s">
        <v>34</v>
      </c>
    </row>
    <row r="4" spans="1:10" x14ac:dyDescent="0.4">
      <c r="A4" s="25">
        <v>1</v>
      </c>
      <c r="B4" s="25" t="s">
        <v>37</v>
      </c>
      <c r="C4" s="25" t="s">
        <v>76</v>
      </c>
      <c r="D4" s="41">
        <v>820</v>
      </c>
      <c r="J4" s="42"/>
    </row>
    <row r="5" spans="1:10" x14ac:dyDescent="0.4">
      <c r="A5" s="10">
        <v>2</v>
      </c>
      <c r="B5" s="10" t="s">
        <v>39</v>
      </c>
      <c r="C5" s="10" t="s">
        <v>77</v>
      </c>
      <c r="D5" s="42">
        <v>690</v>
      </c>
      <c r="J5" s="42"/>
    </row>
    <row r="6" spans="1:10" x14ac:dyDescent="0.4">
      <c r="A6" s="26">
        <v>3</v>
      </c>
      <c r="B6" s="26" t="s">
        <v>41</v>
      </c>
      <c r="C6" s="26" t="s">
        <v>79</v>
      </c>
      <c r="D6" s="43">
        <v>910</v>
      </c>
      <c r="J6" s="42"/>
    </row>
    <row r="7" spans="1:10" x14ac:dyDescent="0.4">
      <c r="A7" s="10">
        <v>4</v>
      </c>
      <c r="B7" s="10" t="s">
        <v>43</v>
      </c>
      <c r="C7" s="10" t="s">
        <v>78</v>
      </c>
      <c r="D7" s="42">
        <v>570</v>
      </c>
      <c r="J7" s="42"/>
    </row>
    <row r="8" spans="1:10" x14ac:dyDescent="0.4">
      <c r="A8" s="26">
        <v>5</v>
      </c>
      <c r="B8" s="26" t="s">
        <v>80</v>
      </c>
      <c r="C8" s="26" t="s">
        <v>81</v>
      </c>
      <c r="D8" s="43">
        <v>760</v>
      </c>
      <c r="J8" s="42"/>
    </row>
    <row r="9" spans="1:10" x14ac:dyDescent="0.4">
      <c r="A9" s="10">
        <v>6</v>
      </c>
      <c r="B9" s="10" t="s">
        <v>82</v>
      </c>
      <c r="C9" s="10" t="s">
        <v>84</v>
      </c>
      <c r="D9" s="42">
        <v>1040</v>
      </c>
      <c r="J9" s="42"/>
    </row>
    <row r="10" spans="1:10" x14ac:dyDescent="0.4">
      <c r="A10" s="26">
        <v>7</v>
      </c>
      <c r="B10" s="26" t="s">
        <v>85</v>
      </c>
      <c r="C10" s="26" t="s">
        <v>87</v>
      </c>
      <c r="D10" s="43">
        <v>630</v>
      </c>
      <c r="J10" s="42"/>
    </row>
    <row r="11" spans="1:10" x14ac:dyDescent="0.4">
      <c r="A11" s="10">
        <v>8</v>
      </c>
      <c r="B11" s="10" t="s">
        <v>88</v>
      </c>
      <c r="C11" s="10" t="s">
        <v>90</v>
      </c>
      <c r="D11" s="42">
        <v>880</v>
      </c>
      <c r="J11" s="42"/>
    </row>
    <row r="12" spans="1:10" x14ac:dyDescent="0.4">
      <c r="A12" s="26">
        <v>9</v>
      </c>
      <c r="B12" s="26" t="s">
        <v>91</v>
      </c>
      <c r="C12" s="26" t="s">
        <v>93</v>
      </c>
      <c r="D12" s="43">
        <v>540</v>
      </c>
      <c r="J12" s="42"/>
    </row>
    <row r="13" spans="1:10" x14ac:dyDescent="0.4">
      <c r="A13" s="10">
        <v>10</v>
      </c>
      <c r="B13" s="10" t="s">
        <v>94</v>
      </c>
      <c r="C13" s="10" t="s">
        <v>96</v>
      </c>
      <c r="D13" s="42">
        <v>970</v>
      </c>
      <c r="J13" s="42"/>
    </row>
    <row r="14" spans="1:10" x14ac:dyDescent="0.4">
      <c r="A14" s="26">
        <v>11</v>
      </c>
      <c r="B14" s="26" t="s">
        <v>37</v>
      </c>
      <c r="C14" s="26" t="s">
        <v>125</v>
      </c>
      <c r="D14" s="43">
        <v>715</v>
      </c>
      <c r="J14" s="42"/>
    </row>
    <row r="15" spans="1:10" x14ac:dyDescent="0.4">
      <c r="A15" s="10">
        <v>12</v>
      </c>
      <c r="B15" s="10" t="s">
        <v>39</v>
      </c>
      <c r="C15" s="10" t="s">
        <v>123</v>
      </c>
      <c r="D15" s="42">
        <v>845</v>
      </c>
      <c r="J15" s="42"/>
    </row>
    <row r="16" spans="1:10" x14ac:dyDescent="0.4">
      <c r="A16" s="26">
        <v>13</v>
      </c>
      <c r="B16" s="26" t="s">
        <v>41</v>
      </c>
      <c r="C16" s="26" t="s">
        <v>129</v>
      </c>
      <c r="D16" s="43">
        <v>605</v>
      </c>
      <c r="J16" s="42"/>
    </row>
    <row r="17" spans="1:10" x14ac:dyDescent="0.4">
      <c r="A17" s="10">
        <v>14</v>
      </c>
      <c r="B17" s="10" t="s">
        <v>43</v>
      </c>
      <c r="C17" s="10" t="s">
        <v>145</v>
      </c>
      <c r="D17" s="42">
        <v>795</v>
      </c>
      <c r="J17" s="42"/>
    </row>
    <row r="18" spans="1:10" ht="19.5" thickBot="1" x14ac:dyDescent="0.45">
      <c r="A18" s="27">
        <v>15</v>
      </c>
      <c r="B18" s="27" t="s">
        <v>80</v>
      </c>
      <c r="C18" s="27" t="s">
        <v>136</v>
      </c>
      <c r="D18" s="44">
        <v>665</v>
      </c>
      <c r="J18" s="42"/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9ED5-87E9-4400-9787-0BCBA39D1321}">
  <dimension ref="B2:G2"/>
  <sheetViews>
    <sheetView workbookViewId="0"/>
  </sheetViews>
  <sheetFormatPr defaultRowHeight="18.75" x14ac:dyDescent="0.4"/>
  <cols>
    <col min="1" max="1" width="3.125" customWidth="1"/>
    <col min="2" max="2" width="6.375" bestFit="1" customWidth="1"/>
    <col min="3" max="3" width="11" bestFit="1" customWidth="1"/>
    <col min="4" max="4" width="11.25" bestFit="1" customWidth="1"/>
    <col min="5" max="5" width="15.125" bestFit="1" customWidth="1"/>
    <col min="6" max="6" width="9.375" bestFit="1" customWidth="1"/>
    <col min="7" max="7" width="9.375" customWidth="1"/>
  </cols>
  <sheetData>
    <row r="2" spans="2:7" s="7" customFormat="1" ht="24.75" thickBot="1" x14ac:dyDescent="0.55000000000000004">
      <c r="B2" s="40" t="s">
        <v>150</v>
      </c>
      <c r="C2" s="39"/>
      <c r="D2" s="39"/>
      <c r="E2" s="39"/>
      <c r="F2" s="39"/>
      <c r="G2" s="39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0B945D-814C-4A95-B5B0-E0EEE400E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工場社員</vt:lpstr>
      <vt:lpstr>配送清算</vt:lpstr>
      <vt:lpstr>部品在庫</vt:lpstr>
      <vt:lpstr>作業予定</vt:lpstr>
      <vt:lpstr>生産ランキング</vt:lpstr>
      <vt:lpstr>部品在庫表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2026-06-25T08:30:42Z</dcterms:created>
  <dcterms:modified xsi:type="dcterms:W3CDTF">2026-07-10T05:25:48Z</dcterms:modified>
</cp:coreProperties>
</file>