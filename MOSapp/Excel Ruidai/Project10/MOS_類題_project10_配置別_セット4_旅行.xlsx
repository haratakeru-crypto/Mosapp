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AB9EC27C-11A4-4678-896E-8F75A56570CE}" xr6:coauthVersionLast="47" xr6:coauthVersionMax="47" xr10:uidLastSave="{00000000-0000-0000-0000-000000000000}"/>
  <bookViews>
    <workbookView xWindow="-28920" yWindow="555" windowWidth="29040" windowHeight="15720" xr2:uid="{00000000-000D-0000-FFFF-FFFF00000000}"/>
  </bookViews>
  <sheets>
    <sheet name="添乗員名簿" sheetId="9" r:id="rId1"/>
    <sheet name="旅行清算" sheetId="10" r:id="rId2"/>
    <sheet name="旅行備品在庫" sheetId="11" r:id="rId3"/>
    <sheet name="ツアー日程" sheetId="12" r:id="rId4"/>
    <sheet name="予約実績" sheetId="13" r:id="rId5"/>
    <sheet name="旅行備品表" sheetId="14" r:id="rId6"/>
  </sheets>
  <definedNames>
    <definedName name="ExternalData_1" localSheetId="5" hidden="1">旅行備品表!#REF!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2" l="1" a="1"/>
  <c r="D4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<sst xmlns="http://schemas.openxmlformats.org/spreadsheetml/2006/main" count="311" uniqueCount="130">
  <si>
    <t>No</t>
  </si>
  <si>
    <t>横浜支店</t>
  </si>
  <si>
    <t>大宮支店</t>
  </si>
  <si>
    <t>新宿支店</t>
  </si>
  <si>
    <t>銀座支店</t>
  </si>
  <si>
    <t>分類</t>
  </si>
  <si>
    <t>銀座</t>
  </si>
  <si>
    <t>新宿</t>
  </si>
  <si>
    <t>横浜</t>
  </si>
  <si>
    <t>大宮</t>
  </si>
  <si>
    <t>千葉</t>
  </si>
  <si>
    <t>立川</t>
  </si>
  <si>
    <t>上野</t>
  </si>
  <si>
    <t>添乗員名</t>
  </si>
  <si>
    <t>所属支店</t>
  </si>
  <si>
    <t>添乗評価</t>
  </si>
  <si>
    <t>手当区分</t>
  </si>
  <si>
    <t>管理番号</t>
  </si>
  <si>
    <t>青木 恒一</t>
  </si>
  <si>
    <t>石井 美咲</t>
  </si>
  <si>
    <t>池袋支店</t>
  </si>
  <si>
    <t>上原 拓海</t>
  </si>
  <si>
    <t>渋谷支店</t>
  </si>
  <si>
    <t>江藤 真由</t>
  </si>
  <si>
    <t>大久保 翔</t>
  </si>
  <si>
    <t>上野支店</t>
  </si>
  <si>
    <t>奥田 彩香</t>
  </si>
  <si>
    <t>品川支店</t>
  </si>
  <si>
    <t>梶田 恒一</t>
  </si>
  <si>
    <t>立川支店</t>
  </si>
  <si>
    <t>川原 優奈</t>
  </si>
  <si>
    <t>北川 大地</t>
  </si>
  <si>
    <t>久保田 真央</t>
  </si>
  <si>
    <t>千葉支店</t>
  </si>
  <si>
    <t>栗山 恒一</t>
  </si>
  <si>
    <t>黒川 優衣</t>
  </si>
  <si>
    <t>小林 恒一</t>
  </si>
  <si>
    <t>小森 真由</t>
  </si>
  <si>
    <t>坂口 翔太</t>
  </si>
  <si>
    <t>桜庭 美紀</t>
  </si>
  <si>
    <t>柴崎 大輝</t>
  </si>
  <si>
    <t>島村 綾乃</t>
  </si>
  <si>
    <t>菅野 恒一</t>
  </si>
  <si>
    <t>関根 美咲</t>
  </si>
  <si>
    <t>ツアー名</t>
  </si>
  <si>
    <t>出発地</t>
  </si>
  <si>
    <t>目的地</t>
  </si>
  <si>
    <t>参加人数</t>
  </si>
  <si>
    <t>添乗手当</t>
  </si>
  <si>
    <t>北海道満喫3日間</t>
  </si>
  <si>
    <t>札幌</t>
  </si>
  <si>
    <t>九州グルメ4日間</t>
  </si>
  <si>
    <t>池袋</t>
  </si>
  <si>
    <t>福岡</t>
  </si>
  <si>
    <t>沖縄リゾート3日間</t>
  </si>
  <si>
    <t>渋谷</t>
  </si>
  <si>
    <t>那覇</t>
  </si>
  <si>
    <t>京都紅葉ツアー</t>
  </si>
  <si>
    <t>京都</t>
  </si>
  <si>
    <t>箱根温泉2日間</t>
  </si>
  <si>
    <t>箱根</t>
  </si>
  <si>
    <t>伊勢神宮参拝</t>
  </si>
  <si>
    <t>品川</t>
  </si>
  <si>
    <t>伊勢</t>
  </si>
  <si>
    <t>金沢歴史散策</t>
  </si>
  <si>
    <t>金沢</t>
  </si>
  <si>
    <t>信州高原ハイキング</t>
  </si>
  <si>
    <t>長野</t>
  </si>
  <si>
    <t>日光世界遺産</t>
  </si>
  <si>
    <t>日光</t>
  </si>
  <si>
    <t>富士山周遊</t>
  </si>
  <si>
    <t>富士</t>
  </si>
  <si>
    <t>標準発注単位</t>
    <rPh sb="4" eb="6">
      <t>タンイ</t>
    </rPh>
    <phoneticPr fontId="2"/>
  </si>
  <si>
    <t>備品名</t>
  </si>
  <si>
    <t>在庫数</t>
  </si>
  <si>
    <t>使用率</t>
  </si>
  <si>
    <t>発注単価</t>
  </si>
  <si>
    <t>発注数量</t>
  </si>
  <si>
    <t>ガイドブック</t>
  </si>
  <si>
    <t>書籍</t>
  </si>
  <si>
    <t>ネームタグ</t>
  </si>
  <si>
    <t>備品</t>
  </si>
  <si>
    <t>スーツケースベルト</t>
  </si>
  <si>
    <t>荷札</t>
  </si>
  <si>
    <t>旅行パンフレット</t>
  </si>
  <si>
    <t>印刷物</t>
  </si>
  <si>
    <t>観光マップ</t>
  </si>
  <si>
    <t>添乗員旗</t>
  </si>
  <si>
    <t>音声ガイド機器</t>
  </si>
  <si>
    <t>電子機器</t>
  </si>
  <si>
    <t>携帯充電器</t>
  </si>
  <si>
    <t>救急セット</t>
  </si>
  <si>
    <t>安全用品</t>
  </si>
  <si>
    <t>雨具</t>
  </si>
  <si>
    <t>ボールペン</t>
  </si>
  <si>
    <t>事務用品</t>
  </si>
  <si>
    <t>クリアファイル</t>
  </si>
  <si>
    <t>腕章</t>
  </si>
  <si>
    <t>名札ケース</t>
  </si>
  <si>
    <t>翻訳機</t>
  </si>
  <si>
    <t>双眼鏡</t>
  </si>
  <si>
    <t>モバイルWi-Fi</t>
  </si>
  <si>
    <t>通信機器</t>
  </si>
  <si>
    <t>ホイッスル</t>
  </si>
  <si>
    <t>懐中電灯</t>
  </si>
  <si>
    <t>メモ帳</t>
  </si>
  <si>
    <t>クリップボード</t>
  </si>
  <si>
    <t>受付ボード</t>
  </si>
  <si>
    <t>折りたたみ傘</t>
  </si>
  <si>
    <t>アルコール消毒液</t>
  </si>
  <si>
    <t>衛生用品</t>
  </si>
  <si>
    <t>マスク</t>
  </si>
  <si>
    <t>体温計</t>
  </si>
  <si>
    <t>飲料水</t>
  </si>
  <si>
    <t>非常食</t>
  </si>
  <si>
    <t>出発日</t>
  </si>
  <si>
    <t>集合時間</t>
  </si>
  <si>
    <t>出発時間</t>
  </si>
  <si>
    <t>予約人数</t>
  </si>
  <si>
    <t>No</t>
    <phoneticPr fontId="2"/>
  </si>
  <si>
    <t>添乗員名簿</t>
    <rPh sb="0" eb="3">
      <t>テンジョウイン</t>
    </rPh>
    <rPh sb="3" eb="5">
      <t>メイボ</t>
    </rPh>
    <phoneticPr fontId="2"/>
  </si>
  <si>
    <t>旅行備品在庫</t>
    <rPh sb="0" eb="2">
      <t>リョコウ</t>
    </rPh>
    <rPh sb="2" eb="4">
      <t>ビヒン</t>
    </rPh>
    <rPh sb="4" eb="6">
      <t>ザイコ</t>
    </rPh>
    <phoneticPr fontId="2"/>
  </si>
  <si>
    <t>発注単位数</t>
  </si>
  <si>
    <t>荷物タグ</t>
  </si>
  <si>
    <t>予約実績一覧</t>
    <rPh sb="0" eb="2">
      <t>ヨヤク</t>
    </rPh>
    <rPh sb="2" eb="4">
      <t>ジッセキ</t>
    </rPh>
    <rPh sb="4" eb="6">
      <t>イチラン</t>
    </rPh>
    <phoneticPr fontId="2"/>
  </si>
  <si>
    <t>ツアー人気順</t>
    <rPh sb="3" eb="5">
      <t>ニンキ</t>
    </rPh>
    <rPh sb="5" eb="6">
      <t>ジュン</t>
    </rPh>
    <phoneticPr fontId="2"/>
  </si>
  <si>
    <t>備品表</t>
    <rPh sb="0" eb="2">
      <t>ビヒン</t>
    </rPh>
    <rPh sb="2" eb="3">
      <t>ヒョウ</t>
    </rPh>
    <phoneticPr fontId="2"/>
  </si>
  <si>
    <t>補充区分</t>
    <rPh sb="0" eb="2">
      <t>ホジュウ</t>
    </rPh>
    <rPh sb="2" eb="4">
      <t>クブン</t>
    </rPh>
    <phoneticPr fontId="2"/>
  </si>
  <si>
    <t>添 乗 手 当 一 覧</t>
    <rPh sb="0" eb="1">
      <t>テン</t>
    </rPh>
    <rPh sb="2" eb="3">
      <t>ジョウ</t>
    </rPh>
    <rPh sb="4" eb="5">
      <t>テ</t>
    </rPh>
    <rPh sb="6" eb="7">
      <t>トウ</t>
    </rPh>
    <rPh sb="8" eb="9">
      <t>イチ</t>
    </rPh>
    <rPh sb="10" eb="11">
      <t>ラン</t>
    </rPh>
    <phoneticPr fontId="2"/>
  </si>
  <si>
    <t>ツアー日程（11月上旬）</t>
    <rPh sb="3" eb="5">
      <t>ニッテイ</t>
    </rPh>
    <rPh sb="8" eb="9">
      <t>ガツ</t>
    </rPh>
    <rPh sb="9" eb="11">
      <t>ジョウジュン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</si>
</sst>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1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2"/>
      <scheme val="minor"/>
    </font>
    <font>
      <sz val="12"/>
      <color theme="1"/>
      <name val="游ゴシック"/>
      <family val="2"/>
      <scheme val="minor"/>
    </font>
    <font>
      <b/>
      <sz val="14"/>
      <color theme="1"/>
      <name val="游ゴシック"/>
      <family val="3"/>
      <charset val="128"/>
      <scheme val="minor"/>
    </font>
    <font>
      <b/>
      <sz val="14"/>
      <color theme="0"/>
      <name val="BIZ UDPゴシック"/>
      <family val="3"/>
      <charset val="128"/>
    </font>
    <font>
      <sz val="11"/>
      <name val="游ゴシック"/>
      <family val="2"/>
      <scheme val="minor"/>
    </font>
    <font>
      <b/>
      <sz val="16"/>
      <name val="BIZ UDPゴシック"/>
      <family val="3"/>
      <charset val="128"/>
    </font>
    <font>
      <b/>
      <sz val="12"/>
      <name val="游ゴシック"/>
      <family val="2"/>
      <scheme val="minor"/>
    </font>
    <font>
      <b/>
      <sz val="12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7"/>
      </left>
      <right style="thick">
        <color theme="7"/>
      </right>
      <top style="thick">
        <color theme="7"/>
      </top>
      <bottom style="thick">
        <color theme="7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4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9" fontId="0" fillId="0" borderId="3" xfId="0" applyNumberFormat="1" applyBorder="1" applyAlignment="1">
      <alignment vertical="center"/>
    </xf>
    <xf numFmtId="0" fontId="12" fillId="6" borderId="3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38" fontId="0" fillId="0" borderId="3" xfId="1" applyFont="1" applyBorder="1" applyAlignment="1">
      <alignment vertical="center"/>
    </xf>
    <xf numFmtId="0" fontId="13" fillId="0" borderId="0" xfId="0" applyFont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0" fillId="0" borderId="5" xfId="0" applyBorder="1"/>
    <xf numFmtId="14" fontId="0" fillId="0" borderId="5" xfId="0" applyNumberFormat="1" applyBorder="1"/>
    <xf numFmtId="176" fontId="0" fillId="0" borderId="5" xfId="0" applyNumberFormat="1" applyBorder="1"/>
    <xf numFmtId="0" fontId="0" fillId="3" borderId="3" xfId="0" applyFill="1" applyBorder="1"/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0" borderId="6" xfId="0" applyBorder="1"/>
    <xf numFmtId="0" fontId="0" fillId="0" borderId="7" xfId="0" applyBorder="1"/>
    <xf numFmtId="0" fontId="0" fillId="3" borderId="6" xfId="0" applyFill="1" applyBorder="1"/>
    <xf numFmtId="0" fontId="0" fillId="3" borderId="7" xfId="0" applyFill="1" applyBorder="1"/>
    <xf numFmtId="0" fontId="0" fillId="3" borderId="10" xfId="0" applyFill="1" applyBorder="1"/>
    <xf numFmtId="0" fontId="10" fillId="10" borderId="0" xfId="0" applyFont="1" applyFill="1" applyAlignment="1">
      <alignment horizontal="center"/>
    </xf>
    <xf numFmtId="0" fontId="13" fillId="0" borderId="0" xfId="0" applyFont="1"/>
    <xf numFmtId="0" fontId="6" fillId="4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38" fontId="7" fillId="0" borderId="2" xfId="1" applyFont="1" applyBorder="1" applyAlignment="1">
      <alignment vertical="center"/>
    </xf>
    <xf numFmtId="0" fontId="0" fillId="0" borderId="1" xfId="1" applyNumberFormat="1" applyFont="1" applyBorder="1" applyAlignment="1"/>
    <xf numFmtId="0" fontId="11" fillId="11" borderId="0" xfId="0" applyFont="1" applyFill="1" applyAlignment="1">
      <alignment vertical="center"/>
    </xf>
    <xf numFmtId="0" fontId="12" fillId="11" borderId="0" xfId="0" applyFont="1" applyFill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23C68-5B70-4CFB-B97F-9A7137E16931}">
  <dimension ref="A1:F23"/>
  <sheetViews>
    <sheetView tabSelected="1" workbookViewId="0">
      <selection sqref="A1:F1"/>
    </sheetView>
  </sheetViews>
  <sheetFormatPr defaultRowHeight="18.75" x14ac:dyDescent="0.4"/>
  <cols>
    <col min="1" max="6" width="12.875" customWidth="1"/>
  </cols>
  <sheetData>
    <row r="1" spans="1:6" x14ac:dyDescent="0.4">
      <c r="A1" s="36" t="s">
        <v>120</v>
      </c>
      <c r="B1" s="36"/>
      <c r="C1" s="36"/>
      <c r="D1" s="36"/>
      <c r="E1" s="36"/>
      <c r="F1" s="36"/>
    </row>
    <row r="3" spans="1:6" s="1" customFormat="1" x14ac:dyDescent="0.4">
      <c r="A3" s="3" t="s">
        <v>119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x14ac:dyDescent="0.4">
      <c r="A4" s="4">
        <v>1</v>
      </c>
      <c r="B4" s="4" t="s">
        <v>18</v>
      </c>
      <c r="C4" s="4" t="s">
        <v>3</v>
      </c>
      <c r="D4" s="4">
        <v>86</v>
      </c>
      <c r="E4" s="40"/>
      <c r="F4" s="4"/>
    </row>
    <row r="5" spans="1:6" x14ac:dyDescent="0.4">
      <c r="A5" s="4">
        <v>2</v>
      </c>
      <c r="B5" s="4" t="s">
        <v>19</v>
      </c>
      <c r="C5" s="4" t="s">
        <v>20</v>
      </c>
      <c r="D5" s="4">
        <v>74</v>
      </c>
      <c r="E5" s="40"/>
      <c r="F5" s="4"/>
    </row>
    <row r="6" spans="1:6" x14ac:dyDescent="0.4">
      <c r="A6" s="4">
        <v>3</v>
      </c>
      <c r="B6" s="4" t="s">
        <v>21</v>
      </c>
      <c r="C6" s="4" t="s">
        <v>22</v>
      </c>
      <c r="D6" s="4">
        <v>91</v>
      </c>
      <c r="E6" s="40"/>
      <c r="F6" s="4"/>
    </row>
    <row r="7" spans="1:6" x14ac:dyDescent="0.4">
      <c r="A7" s="4">
        <v>4</v>
      </c>
      <c r="B7" s="4" t="s">
        <v>23</v>
      </c>
      <c r="C7" s="4" t="s">
        <v>4</v>
      </c>
      <c r="D7" s="4">
        <v>68</v>
      </c>
      <c r="E7" s="40"/>
      <c r="F7" s="4"/>
    </row>
    <row r="8" spans="1:6" x14ac:dyDescent="0.4">
      <c r="A8" s="4">
        <v>5</v>
      </c>
      <c r="B8" s="4" t="s">
        <v>24</v>
      </c>
      <c r="C8" s="4" t="s">
        <v>25</v>
      </c>
      <c r="D8" s="4">
        <v>83</v>
      </c>
      <c r="E8" s="40"/>
      <c r="F8" s="4"/>
    </row>
    <row r="9" spans="1:6" x14ac:dyDescent="0.4">
      <c r="A9" s="4">
        <v>6</v>
      </c>
      <c r="B9" s="4" t="s">
        <v>26</v>
      </c>
      <c r="C9" s="4" t="s">
        <v>27</v>
      </c>
      <c r="D9" s="4">
        <v>79</v>
      </c>
      <c r="E9" s="40"/>
      <c r="F9" s="4"/>
    </row>
    <row r="10" spans="1:6" x14ac:dyDescent="0.4">
      <c r="A10" s="4">
        <v>7</v>
      </c>
      <c r="B10" s="4" t="s">
        <v>28</v>
      </c>
      <c r="C10" s="4" t="s">
        <v>29</v>
      </c>
      <c r="D10" s="4">
        <v>95</v>
      </c>
      <c r="E10" s="40"/>
      <c r="F10" s="4"/>
    </row>
    <row r="11" spans="1:6" x14ac:dyDescent="0.4">
      <c r="A11" s="4">
        <v>8</v>
      </c>
      <c r="B11" s="4" t="s">
        <v>30</v>
      </c>
      <c r="C11" s="4" t="s">
        <v>1</v>
      </c>
      <c r="D11" s="4">
        <v>81</v>
      </c>
      <c r="E11" s="40"/>
      <c r="F11" s="4"/>
    </row>
    <row r="12" spans="1:6" x14ac:dyDescent="0.4">
      <c r="A12" s="4">
        <v>9</v>
      </c>
      <c r="B12" s="4" t="s">
        <v>31</v>
      </c>
      <c r="C12" s="4" t="s">
        <v>2</v>
      </c>
      <c r="D12" s="4">
        <v>77</v>
      </c>
      <c r="E12" s="40"/>
      <c r="F12" s="4"/>
    </row>
    <row r="13" spans="1:6" x14ac:dyDescent="0.4">
      <c r="A13" s="4">
        <v>10</v>
      </c>
      <c r="B13" s="4" t="s">
        <v>32</v>
      </c>
      <c r="C13" s="4" t="s">
        <v>33</v>
      </c>
      <c r="D13" s="4">
        <v>89</v>
      </c>
      <c r="E13" s="40"/>
      <c r="F13" s="4"/>
    </row>
    <row r="14" spans="1:6" x14ac:dyDescent="0.4">
      <c r="A14" s="4">
        <v>11</v>
      </c>
      <c r="B14" s="4" t="s">
        <v>34</v>
      </c>
      <c r="C14" s="4" t="s">
        <v>3</v>
      </c>
      <c r="D14" s="4">
        <v>63</v>
      </c>
      <c r="E14" s="40"/>
      <c r="F14" s="4"/>
    </row>
    <row r="15" spans="1:6" x14ac:dyDescent="0.4">
      <c r="A15" s="4">
        <v>12</v>
      </c>
      <c r="B15" s="4" t="s">
        <v>35</v>
      </c>
      <c r="C15" s="4" t="s">
        <v>20</v>
      </c>
      <c r="D15" s="4">
        <v>91</v>
      </c>
      <c r="E15" s="40"/>
      <c r="F15" s="4"/>
    </row>
    <row r="16" spans="1:6" x14ac:dyDescent="0.4">
      <c r="A16" s="4">
        <v>13</v>
      </c>
      <c r="B16" s="4" t="s">
        <v>36</v>
      </c>
      <c r="C16" s="4" t="s">
        <v>22</v>
      </c>
      <c r="D16" s="4">
        <v>85</v>
      </c>
      <c r="E16" s="40"/>
      <c r="F16" s="4"/>
    </row>
    <row r="17" spans="1:6" x14ac:dyDescent="0.4">
      <c r="A17" s="4">
        <v>14</v>
      </c>
      <c r="B17" s="4" t="s">
        <v>37</v>
      </c>
      <c r="C17" s="4" t="s">
        <v>4</v>
      </c>
      <c r="D17" s="4">
        <v>72</v>
      </c>
      <c r="E17" s="40"/>
      <c r="F17" s="4"/>
    </row>
    <row r="18" spans="1:6" x14ac:dyDescent="0.4">
      <c r="A18" s="4">
        <v>15</v>
      </c>
      <c r="B18" s="4" t="s">
        <v>38</v>
      </c>
      <c r="C18" s="4" t="s">
        <v>25</v>
      </c>
      <c r="D18" s="4">
        <v>98</v>
      </c>
      <c r="E18" s="40"/>
      <c r="F18" s="4"/>
    </row>
    <row r="19" spans="1:6" x14ac:dyDescent="0.4">
      <c r="A19" s="4">
        <v>16</v>
      </c>
      <c r="B19" s="4" t="s">
        <v>39</v>
      </c>
      <c r="C19" s="4" t="s">
        <v>27</v>
      </c>
      <c r="D19" s="4">
        <v>80</v>
      </c>
      <c r="E19" s="40"/>
      <c r="F19" s="4"/>
    </row>
    <row r="20" spans="1:6" x14ac:dyDescent="0.4">
      <c r="A20" s="4">
        <v>17</v>
      </c>
      <c r="B20" s="4" t="s">
        <v>40</v>
      </c>
      <c r="C20" s="4" t="s">
        <v>29</v>
      </c>
      <c r="D20" s="4">
        <v>87</v>
      </c>
      <c r="E20" s="40"/>
      <c r="F20" s="4"/>
    </row>
    <row r="21" spans="1:6" x14ac:dyDescent="0.4">
      <c r="A21" s="4">
        <v>18</v>
      </c>
      <c r="B21" s="4" t="s">
        <v>41</v>
      </c>
      <c r="C21" s="4" t="s">
        <v>1</v>
      </c>
      <c r="D21" s="4">
        <v>66</v>
      </c>
      <c r="E21" s="40"/>
      <c r="F21" s="4"/>
    </row>
    <row r="22" spans="1:6" x14ac:dyDescent="0.4">
      <c r="A22" s="4">
        <v>19</v>
      </c>
      <c r="B22" s="4" t="s">
        <v>42</v>
      </c>
      <c r="C22" s="4" t="s">
        <v>2</v>
      </c>
      <c r="D22" s="4">
        <v>82</v>
      </c>
      <c r="E22" s="40"/>
      <c r="F22" s="4"/>
    </row>
    <row r="23" spans="1:6" x14ac:dyDescent="0.4">
      <c r="A23" s="4">
        <v>20</v>
      </c>
      <c r="B23" s="4" t="s">
        <v>43</v>
      </c>
      <c r="C23" s="4" t="s">
        <v>33</v>
      </c>
      <c r="D23" s="4">
        <v>94</v>
      </c>
      <c r="E23" s="40"/>
      <c r="F23" s="4"/>
    </row>
  </sheetData>
  <mergeCells count="1">
    <mergeCell ref="A1:F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5023-3A27-4425-A8B3-4EE9D3AF9D5F}">
  <dimension ref="A2:F44"/>
  <sheetViews>
    <sheetView workbookViewId="0"/>
  </sheetViews>
  <sheetFormatPr defaultRowHeight="18.75" x14ac:dyDescent="0.4"/>
  <cols>
    <col min="1" max="1" width="12.375" style="6" customWidth="1"/>
    <col min="2" max="2" width="19.25" style="6" bestFit="1" customWidth="1"/>
    <col min="3" max="6" width="12.375" style="6" customWidth="1"/>
    <col min="7" max="16384" width="9" style="6"/>
  </cols>
  <sheetData>
    <row r="2" spans="1:6" x14ac:dyDescent="0.4">
      <c r="A2" s="7" t="s">
        <v>128</v>
      </c>
    </row>
    <row r="3" spans="1:6" x14ac:dyDescent="0.4">
      <c r="A3" s="7"/>
    </row>
    <row r="4" spans="1:6" s="10" customFormat="1" ht="24" customHeight="1" x14ac:dyDescent="0.4">
      <c r="A4" s="8" t="s">
        <v>0</v>
      </c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1:6" x14ac:dyDescent="0.4">
      <c r="A5" s="11">
        <v>1</v>
      </c>
      <c r="B5" s="11" t="s">
        <v>49</v>
      </c>
      <c r="C5" s="11" t="s">
        <v>7</v>
      </c>
      <c r="D5" s="11" t="s">
        <v>50</v>
      </c>
      <c r="E5" s="11">
        <v>42</v>
      </c>
      <c r="F5" s="39"/>
    </row>
    <row r="6" spans="1:6" x14ac:dyDescent="0.4">
      <c r="A6" s="11">
        <v>2</v>
      </c>
      <c r="B6" s="11" t="s">
        <v>51</v>
      </c>
      <c r="C6" s="11" t="s">
        <v>52</v>
      </c>
      <c r="D6" s="11" t="s">
        <v>53</v>
      </c>
      <c r="E6" s="11">
        <v>28</v>
      </c>
      <c r="F6" s="39"/>
    </row>
    <row r="7" spans="1:6" x14ac:dyDescent="0.4">
      <c r="A7" s="11">
        <v>3</v>
      </c>
      <c r="B7" s="11" t="s">
        <v>54</v>
      </c>
      <c r="C7" s="11" t="s">
        <v>55</v>
      </c>
      <c r="D7" s="11" t="s">
        <v>56</v>
      </c>
      <c r="E7" s="11">
        <v>35</v>
      </c>
      <c r="F7" s="39"/>
    </row>
    <row r="8" spans="1:6" x14ac:dyDescent="0.4">
      <c r="A8" s="11">
        <v>4</v>
      </c>
      <c r="B8" s="11" t="s">
        <v>57</v>
      </c>
      <c r="C8" s="11" t="s">
        <v>6</v>
      </c>
      <c r="D8" s="11" t="s">
        <v>58</v>
      </c>
      <c r="E8" s="11">
        <v>18</v>
      </c>
      <c r="F8" s="39"/>
    </row>
    <row r="9" spans="1:6" x14ac:dyDescent="0.4">
      <c r="A9" s="11">
        <v>5</v>
      </c>
      <c r="B9" s="11" t="s">
        <v>59</v>
      </c>
      <c r="C9" s="11" t="s">
        <v>12</v>
      </c>
      <c r="D9" s="11" t="s">
        <v>60</v>
      </c>
      <c r="E9" s="11">
        <v>31</v>
      </c>
      <c r="F9" s="39"/>
    </row>
    <row r="10" spans="1:6" x14ac:dyDescent="0.4">
      <c r="A10" s="11">
        <v>6</v>
      </c>
      <c r="B10" s="11" t="s">
        <v>61</v>
      </c>
      <c r="C10" s="11" t="s">
        <v>62</v>
      </c>
      <c r="D10" s="11" t="s">
        <v>63</v>
      </c>
      <c r="E10" s="11">
        <v>24</v>
      </c>
      <c r="F10" s="39"/>
    </row>
    <row r="11" spans="1:6" x14ac:dyDescent="0.4">
      <c r="A11" s="11">
        <v>7</v>
      </c>
      <c r="B11" s="11" t="s">
        <v>64</v>
      </c>
      <c r="C11" s="11" t="s">
        <v>11</v>
      </c>
      <c r="D11" s="11" t="s">
        <v>65</v>
      </c>
      <c r="E11" s="11">
        <v>38</v>
      </c>
      <c r="F11" s="39"/>
    </row>
    <row r="12" spans="1:6" x14ac:dyDescent="0.4">
      <c r="A12" s="11">
        <v>8</v>
      </c>
      <c r="B12" s="11" t="s">
        <v>66</v>
      </c>
      <c r="C12" s="11" t="s">
        <v>8</v>
      </c>
      <c r="D12" s="11" t="s">
        <v>67</v>
      </c>
      <c r="E12" s="11">
        <v>19</v>
      </c>
      <c r="F12" s="39"/>
    </row>
    <row r="13" spans="1:6" x14ac:dyDescent="0.4">
      <c r="A13" s="11">
        <v>9</v>
      </c>
      <c r="B13" s="11" t="s">
        <v>68</v>
      </c>
      <c r="C13" s="11" t="s">
        <v>9</v>
      </c>
      <c r="D13" s="11" t="s">
        <v>69</v>
      </c>
      <c r="E13" s="11">
        <v>44</v>
      </c>
      <c r="F13" s="39"/>
    </row>
    <row r="14" spans="1:6" x14ac:dyDescent="0.4">
      <c r="A14" s="11">
        <v>10</v>
      </c>
      <c r="B14" s="11" t="s">
        <v>70</v>
      </c>
      <c r="C14" s="11" t="s">
        <v>10</v>
      </c>
      <c r="D14" s="11" t="s">
        <v>71</v>
      </c>
      <c r="E14" s="11">
        <v>26</v>
      </c>
      <c r="F14" s="39"/>
    </row>
    <row r="15" spans="1:6" x14ac:dyDescent="0.4">
      <c r="A15" s="11">
        <v>11</v>
      </c>
      <c r="B15" s="11" t="s">
        <v>49</v>
      </c>
      <c r="C15" s="11" t="s">
        <v>7</v>
      </c>
      <c r="D15" s="11" t="s">
        <v>50</v>
      </c>
      <c r="E15" s="11">
        <v>33</v>
      </c>
      <c r="F15" s="39"/>
    </row>
    <row r="16" spans="1:6" x14ac:dyDescent="0.4">
      <c r="A16" s="11">
        <v>12</v>
      </c>
      <c r="B16" s="11" t="s">
        <v>51</v>
      </c>
      <c r="C16" s="11" t="s">
        <v>52</v>
      </c>
      <c r="D16" s="11" t="s">
        <v>53</v>
      </c>
      <c r="E16" s="11">
        <v>29</v>
      </c>
      <c r="F16" s="39"/>
    </row>
    <row r="17" spans="1:6" x14ac:dyDescent="0.4">
      <c r="A17" s="11">
        <v>13</v>
      </c>
      <c r="B17" s="11" t="s">
        <v>54</v>
      </c>
      <c r="C17" s="11" t="s">
        <v>55</v>
      </c>
      <c r="D17" s="11" t="s">
        <v>56</v>
      </c>
      <c r="E17" s="11">
        <v>46</v>
      </c>
      <c r="F17" s="39"/>
    </row>
    <row r="18" spans="1:6" x14ac:dyDescent="0.4">
      <c r="A18" s="11">
        <v>14</v>
      </c>
      <c r="B18" s="11" t="s">
        <v>57</v>
      </c>
      <c r="C18" s="11" t="s">
        <v>6</v>
      </c>
      <c r="D18" s="11" t="s">
        <v>58</v>
      </c>
      <c r="E18" s="11">
        <v>22</v>
      </c>
      <c r="F18" s="39"/>
    </row>
    <row r="19" spans="1:6" x14ac:dyDescent="0.4">
      <c r="A19" s="11">
        <v>15</v>
      </c>
      <c r="B19" s="11" t="s">
        <v>59</v>
      </c>
      <c r="C19" s="11" t="s">
        <v>12</v>
      </c>
      <c r="D19" s="11" t="s">
        <v>60</v>
      </c>
      <c r="E19" s="11">
        <v>39</v>
      </c>
      <c r="F19" s="39"/>
    </row>
    <row r="20" spans="1:6" x14ac:dyDescent="0.4">
      <c r="A20" s="11">
        <v>16</v>
      </c>
      <c r="B20" s="11" t="s">
        <v>61</v>
      </c>
      <c r="C20" s="11" t="s">
        <v>62</v>
      </c>
      <c r="D20" s="11" t="s">
        <v>63</v>
      </c>
      <c r="E20" s="11">
        <v>27</v>
      </c>
      <c r="F20" s="39"/>
    </row>
    <row r="21" spans="1:6" x14ac:dyDescent="0.4">
      <c r="A21" s="11">
        <v>17</v>
      </c>
      <c r="B21" s="11" t="s">
        <v>64</v>
      </c>
      <c r="C21" s="11" t="s">
        <v>11</v>
      </c>
      <c r="D21" s="11" t="s">
        <v>65</v>
      </c>
      <c r="E21" s="11">
        <v>41</v>
      </c>
      <c r="F21" s="39"/>
    </row>
    <row r="22" spans="1:6" x14ac:dyDescent="0.4">
      <c r="A22" s="11">
        <v>18</v>
      </c>
      <c r="B22" s="11" t="s">
        <v>66</v>
      </c>
      <c r="C22" s="11" t="s">
        <v>8</v>
      </c>
      <c r="D22" s="11" t="s">
        <v>67</v>
      </c>
      <c r="E22" s="11">
        <v>23</v>
      </c>
      <c r="F22" s="39"/>
    </row>
    <row r="23" spans="1:6" x14ac:dyDescent="0.4">
      <c r="A23" s="11">
        <v>19</v>
      </c>
      <c r="B23" s="11" t="s">
        <v>68</v>
      </c>
      <c r="C23" s="11" t="s">
        <v>9</v>
      </c>
      <c r="D23" s="11" t="s">
        <v>69</v>
      </c>
      <c r="E23" s="11">
        <v>37</v>
      </c>
      <c r="F23" s="39"/>
    </row>
    <row r="24" spans="1:6" x14ac:dyDescent="0.4">
      <c r="A24" s="11">
        <v>20</v>
      </c>
      <c r="B24" s="11" t="s">
        <v>70</v>
      </c>
      <c r="C24" s="11" t="s">
        <v>10</v>
      </c>
      <c r="D24" s="11" t="s">
        <v>71</v>
      </c>
      <c r="E24" s="11">
        <v>30</v>
      </c>
      <c r="F24" s="39"/>
    </row>
    <row r="25" spans="1:6" x14ac:dyDescent="0.4">
      <c r="A25" s="11">
        <v>21</v>
      </c>
      <c r="B25" s="11" t="s">
        <v>49</v>
      </c>
      <c r="C25" s="11" t="s">
        <v>7</v>
      </c>
      <c r="D25" s="11" t="s">
        <v>50</v>
      </c>
      <c r="E25" s="11">
        <v>25</v>
      </c>
      <c r="F25" s="39"/>
    </row>
    <row r="26" spans="1:6" x14ac:dyDescent="0.4">
      <c r="A26" s="11">
        <v>22</v>
      </c>
      <c r="B26" s="11" t="s">
        <v>51</v>
      </c>
      <c r="C26" s="11" t="s">
        <v>52</v>
      </c>
      <c r="D26" s="11" t="s">
        <v>53</v>
      </c>
      <c r="E26" s="11">
        <v>48</v>
      </c>
      <c r="F26" s="39"/>
    </row>
    <row r="27" spans="1:6" x14ac:dyDescent="0.4">
      <c r="A27" s="11">
        <v>23</v>
      </c>
      <c r="B27" s="11" t="s">
        <v>54</v>
      </c>
      <c r="C27" s="11" t="s">
        <v>55</v>
      </c>
      <c r="D27" s="11" t="s">
        <v>56</v>
      </c>
      <c r="E27" s="11">
        <v>36</v>
      </c>
      <c r="F27" s="39"/>
    </row>
    <row r="28" spans="1:6" x14ac:dyDescent="0.4">
      <c r="A28" s="11">
        <v>24</v>
      </c>
      <c r="B28" s="11" t="s">
        <v>57</v>
      </c>
      <c r="C28" s="11" t="s">
        <v>6</v>
      </c>
      <c r="D28" s="11" t="s">
        <v>58</v>
      </c>
      <c r="E28" s="11">
        <v>17</v>
      </c>
      <c r="F28" s="39"/>
    </row>
    <row r="29" spans="1:6" x14ac:dyDescent="0.4">
      <c r="A29" s="11">
        <v>25</v>
      </c>
      <c r="B29" s="11" t="s">
        <v>59</v>
      </c>
      <c r="C29" s="11" t="s">
        <v>12</v>
      </c>
      <c r="D29" s="11" t="s">
        <v>60</v>
      </c>
      <c r="E29" s="11">
        <v>32</v>
      </c>
      <c r="F29" s="39"/>
    </row>
    <row r="30" spans="1:6" x14ac:dyDescent="0.4">
      <c r="A30" s="11">
        <v>26</v>
      </c>
      <c r="B30" s="11" t="s">
        <v>61</v>
      </c>
      <c r="C30" s="11" t="s">
        <v>62</v>
      </c>
      <c r="D30" s="11" t="s">
        <v>63</v>
      </c>
      <c r="E30" s="11">
        <v>20</v>
      </c>
      <c r="F30" s="39"/>
    </row>
    <row r="31" spans="1:6" x14ac:dyDescent="0.4">
      <c r="A31" s="11">
        <v>27</v>
      </c>
      <c r="B31" s="11" t="s">
        <v>64</v>
      </c>
      <c r="C31" s="11" t="s">
        <v>11</v>
      </c>
      <c r="D31" s="11" t="s">
        <v>65</v>
      </c>
      <c r="E31" s="11">
        <v>43</v>
      </c>
      <c r="F31" s="39"/>
    </row>
    <row r="32" spans="1:6" x14ac:dyDescent="0.4">
      <c r="A32" s="11">
        <v>28</v>
      </c>
      <c r="B32" s="11" t="s">
        <v>66</v>
      </c>
      <c r="C32" s="11" t="s">
        <v>8</v>
      </c>
      <c r="D32" s="11" t="s">
        <v>67</v>
      </c>
      <c r="E32" s="11">
        <v>21</v>
      </c>
      <c r="F32" s="39"/>
    </row>
    <row r="33" spans="1:6" x14ac:dyDescent="0.4">
      <c r="A33" s="11">
        <v>29</v>
      </c>
      <c r="B33" s="11" t="s">
        <v>68</v>
      </c>
      <c r="C33" s="11" t="s">
        <v>9</v>
      </c>
      <c r="D33" s="11" t="s">
        <v>69</v>
      </c>
      <c r="E33" s="11">
        <v>34</v>
      </c>
      <c r="F33" s="39"/>
    </row>
    <row r="34" spans="1:6" x14ac:dyDescent="0.4">
      <c r="A34" s="11">
        <v>30</v>
      </c>
      <c r="B34" s="11" t="s">
        <v>70</v>
      </c>
      <c r="C34" s="11" t="s">
        <v>10</v>
      </c>
      <c r="D34" s="11" t="s">
        <v>71</v>
      </c>
      <c r="E34" s="11">
        <v>27</v>
      </c>
      <c r="F34" s="39"/>
    </row>
    <row r="35" spans="1:6" x14ac:dyDescent="0.4">
      <c r="A35" s="11">
        <v>31</v>
      </c>
      <c r="B35" s="11" t="s">
        <v>49</v>
      </c>
      <c r="C35" s="11" t="s">
        <v>7</v>
      </c>
      <c r="D35" s="11" t="s">
        <v>50</v>
      </c>
      <c r="E35" s="11">
        <v>40</v>
      </c>
      <c r="F35" s="39"/>
    </row>
    <row r="36" spans="1:6" x14ac:dyDescent="0.4">
      <c r="A36" s="11">
        <v>32</v>
      </c>
      <c r="B36" s="11" t="s">
        <v>51</v>
      </c>
      <c r="C36" s="11" t="s">
        <v>52</v>
      </c>
      <c r="D36" s="11" t="s">
        <v>53</v>
      </c>
      <c r="E36" s="11">
        <v>31</v>
      </c>
      <c r="F36" s="39"/>
    </row>
    <row r="37" spans="1:6" x14ac:dyDescent="0.4">
      <c r="A37" s="11">
        <v>33</v>
      </c>
      <c r="B37" s="11" t="s">
        <v>54</v>
      </c>
      <c r="C37" s="11" t="s">
        <v>55</v>
      </c>
      <c r="D37" s="11" t="s">
        <v>56</v>
      </c>
      <c r="E37" s="11">
        <v>45</v>
      </c>
      <c r="F37" s="39"/>
    </row>
    <row r="38" spans="1:6" x14ac:dyDescent="0.4">
      <c r="A38" s="11">
        <v>34</v>
      </c>
      <c r="B38" s="11" t="s">
        <v>57</v>
      </c>
      <c r="C38" s="11" t="s">
        <v>6</v>
      </c>
      <c r="D38" s="11" t="s">
        <v>58</v>
      </c>
      <c r="E38" s="11">
        <v>24</v>
      </c>
      <c r="F38" s="39"/>
    </row>
    <row r="39" spans="1:6" x14ac:dyDescent="0.4">
      <c r="A39" s="11">
        <v>35</v>
      </c>
      <c r="B39" s="11" t="s">
        <v>59</v>
      </c>
      <c r="C39" s="11" t="s">
        <v>12</v>
      </c>
      <c r="D39" s="11" t="s">
        <v>60</v>
      </c>
      <c r="E39" s="11">
        <v>38</v>
      </c>
      <c r="F39" s="39"/>
    </row>
    <row r="40" spans="1:6" x14ac:dyDescent="0.4">
      <c r="A40" s="11">
        <v>36</v>
      </c>
      <c r="B40" s="11" t="s">
        <v>61</v>
      </c>
      <c r="C40" s="11" t="s">
        <v>62</v>
      </c>
      <c r="D40" s="11" t="s">
        <v>63</v>
      </c>
      <c r="E40" s="11">
        <v>19</v>
      </c>
      <c r="F40" s="39"/>
    </row>
    <row r="41" spans="1:6" x14ac:dyDescent="0.4">
      <c r="A41" s="11">
        <v>37</v>
      </c>
      <c r="B41" s="11" t="s">
        <v>64</v>
      </c>
      <c r="C41" s="11" t="s">
        <v>11</v>
      </c>
      <c r="D41" s="11" t="s">
        <v>65</v>
      </c>
      <c r="E41" s="11">
        <v>42</v>
      </c>
      <c r="F41" s="39"/>
    </row>
    <row r="42" spans="1:6" x14ac:dyDescent="0.4">
      <c r="A42" s="11">
        <v>38</v>
      </c>
      <c r="B42" s="11" t="s">
        <v>66</v>
      </c>
      <c r="C42" s="11" t="s">
        <v>8</v>
      </c>
      <c r="D42" s="11" t="s">
        <v>67</v>
      </c>
      <c r="E42" s="11">
        <v>28</v>
      </c>
      <c r="F42" s="39"/>
    </row>
    <row r="43" spans="1:6" x14ac:dyDescent="0.4">
      <c r="A43" s="11">
        <v>39</v>
      </c>
      <c r="B43" s="11" t="s">
        <v>68</v>
      </c>
      <c r="C43" s="11" t="s">
        <v>9</v>
      </c>
      <c r="D43" s="11" t="s">
        <v>69</v>
      </c>
      <c r="E43" s="11">
        <v>35</v>
      </c>
      <c r="F43" s="39"/>
    </row>
    <row r="44" spans="1:6" x14ac:dyDescent="0.4">
      <c r="A44" s="11">
        <v>40</v>
      </c>
      <c r="B44" s="11" t="s">
        <v>70</v>
      </c>
      <c r="C44" s="11" t="s">
        <v>10</v>
      </c>
      <c r="D44" s="11" t="s">
        <v>71</v>
      </c>
      <c r="E44" s="11">
        <v>47</v>
      </c>
      <c r="F44" s="39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4DEF-E957-4A17-84E6-FE757010011D}">
  <dimension ref="A1:I35"/>
  <sheetViews>
    <sheetView workbookViewId="0">
      <selection sqref="A1:I1"/>
    </sheetView>
  </sheetViews>
  <sheetFormatPr defaultRowHeight="18.75" x14ac:dyDescent="0.4"/>
  <cols>
    <col min="1" max="1" width="7.375" style="5" customWidth="1"/>
    <col min="2" max="2" width="19.25" style="5" bestFit="1" customWidth="1"/>
    <col min="3" max="5" width="10.25" style="5" customWidth="1"/>
    <col min="6" max="10" width="13.75" style="5" customWidth="1"/>
    <col min="11" max="16384" width="9" style="5"/>
  </cols>
  <sheetData>
    <row r="1" spans="1:9" ht="40.5" customHeight="1" x14ac:dyDescent="0.4">
      <c r="A1" s="37" t="s">
        <v>121</v>
      </c>
      <c r="B1" s="37"/>
      <c r="C1" s="37"/>
      <c r="D1" s="37"/>
      <c r="E1" s="37"/>
      <c r="F1" s="37"/>
      <c r="G1" s="37"/>
      <c r="H1" s="37"/>
      <c r="I1" s="37"/>
    </row>
    <row r="2" spans="1:9" ht="19.5" thickBot="1" x14ac:dyDescent="0.45"/>
    <row r="3" spans="1:9" ht="27.75" customHeight="1" thickTop="1" thickBot="1" x14ac:dyDescent="0.45">
      <c r="B3" s="16" t="s">
        <v>72</v>
      </c>
      <c r="C3" s="17">
        <v>20</v>
      </c>
    </row>
    <row r="4" spans="1:9" ht="19.5" thickTop="1" x14ac:dyDescent="0.4"/>
    <row r="5" spans="1:9" s="12" customFormat="1" ht="25.5" customHeight="1" x14ac:dyDescent="0.4">
      <c r="A5" s="15" t="s">
        <v>0</v>
      </c>
      <c r="B5" s="15" t="s">
        <v>73</v>
      </c>
      <c r="C5" s="15" t="s">
        <v>5</v>
      </c>
      <c r="D5" s="15" t="s">
        <v>74</v>
      </c>
      <c r="E5" s="15" t="s">
        <v>75</v>
      </c>
      <c r="F5" s="15" t="s">
        <v>127</v>
      </c>
      <c r="G5" s="15" t="s">
        <v>76</v>
      </c>
      <c r="H5" s="15" t="s">
        <v>77</v>
      </c>
      <c r="I5" s="15" t="s">
        <v>122</v>
      </c>
    </row>
    <row r="6" spans="1:9" x14ac:dyDescent="0.4">
      <c r="A6" s="13">
        <v>1</v>
      </c>
      <c r="B6" s="13" t="s">
        <v>78</v>
      </c>
      <c r="C6" s="13" t="s">
        <v>79</v>
      </c>
      <c r="D6" s="13">
        <v>120</v>
      </c>
      <c r="E6" s="14">
        <v>0.08</v>
      </c>
      <c r="F6" s="13"/>
      <c r="G6" s="18">
        <v>850</v>
      </c>
      <c r="H6" s="18">
        <v>60</v>
      </c>
      <c r="I6" s="18"/>
    </row>
    <row r="7" spans="1:9" x14ac:dyDescent="0.4">
      <c r="A7" s="13">
        <v>2</v>
      </c>
      <c r="B7" s="13" t="s">
        <v>80</v>
      </c>
      <c r="C7" s="13" t="s">
        <v>81</v>
      </c>
      <c r="D7" s="13">
        <v>85</v>
      </c>
      <c r="E7" s="14">
        <v>0.15</v>
      </c>
      <c r="F7" s="13"/>
      <c r="G7" s="18">
        <v>180</v>
      </c>
      <c r="H7" s="18">
        <v>40</v>
      </c>
      <c r="I7" s="18"/>
    </row>
    <row r="8" spans="1:9" x14ac:dyDescent="0.4">
      <c r="A8" s="13">
        <v>3</v>
      </c>
      <c r="B8" s="13" t="s">
        <v>82</v>
      </c>
      <c r="C8" s="13" t="s">
        <v>81</v>
      </c>
      <c r="D8" s="13">
        <v>65</v>
      </c>
      <c r="E8" s="14">
        <v>0.1</v>
      </c>
      <c r="F8" s="13"/>
      <c r="G8" s="18">
        <v>780</v>
      </c>
      <c r="H8" s="18">
        <v>40</v>
      </c>
      <c r="I8" s="18"/>
    </row>
    <row r="9" spans="1:9" x14ac:dyDescent="0.4">
      <c r="A9" s="13">
        <v>4</v>
      </c>
      <c r="B9" s="13" t="s">
        <v>83</v>
      </c>
      <c r="C9" s="13" t="s">
        <v>81</v>
      </c>
      <c r="D9" s="13">
        <v>48</v>
      </c>
      <c r="E9" s="14">
        <v>0.22</v>
      </c>
      <c r="F9" s="13"/>
      <c r="G9" s="18">
        <v>120</v>
      </c>
      <c r="H9" s="18">
        <v>80</v>
      </c>
      <c r="I9" s="18"/>
    </row>
    <row r="10" spans="1:9" x14ac:dyDescent="0.4">
      <c r="A10" s="13">
        <v>5</v>
      </c>
      <c r="B10" s="13" t="s">
        <v>84</v>
      </c>
      <c r="C10" s="13" t="s">
        <v>85</v>
      </c>
      <c r="D10" s="13">
        <v>102</v>
      </c>
      <c r="E10" s="14">
        <v>0.12</v>
      </c>
      <c r="F10" s="13"/>
      <c r="G10" s="18">
        <v>95</v>
      </c>
      <c r="H10" s="18">
        <v>100</v>
      </c>
      <c r="I10" s="18"/>
    </row>
    <row r="11" spans="1:9" x14ac:dyDescent="0.4">
      <c r="A11" s="13">
        <v>6</v>
      </c>
      <c r="B11" s="13" t="s">
        <v>86</v>
      </c>
      <c r="C11" s="13" t="s">
        <v>85</v>
      </c>
      <c r="D11" s="13">
        <v>140</v>
      </c>
      <c r="E11" s="14">
        <v>0.3</v>
      </c>
      <c r="F11" s="13"/>
      <c r="G11" s="18">
        <v>80</v>
      </c>
      <c r="H11" s="18">
        <v>120</v>
      </c>
      <c r="I11" s="18"/>
    </row>
    <row r="12" spans="1:9" x14ac:dyDescent="0.4">
      <c r="A12" s="13">
        <v>7</v>
      </c>
      <c r="B12" s="13" t="s">
        <v>87</v>
      </c>
      <c r="C12" s="13" t="s">
        <v>81</v>
      </c>
      <c r="D12" s="13">
        <v>155</v>
      </c>
      <c r="E12" s="14">
        <v>0.09</v>
      </c>
      <c r="F12" s="13"/>
      <c r="G12" s="18">
        <v>2400</v>
      </c>
      <c r="H12" s="18">
        <v>20</v>
      </c>
      <c r="I12" s="18"/>
    </row>
    <row r="13" spans="1:9" x14ac:dyDescent="0.4">
      <c r="A13" s="13">
        <v>8</v>
      </c>
      <c r="B13" s="13" t="s">
        <v>88</v>
      </c>
      <c r="C13" s="13" t="s">
        <v>89</v>
      </c>
      <c r="D13" s="13">
        <v>98</v>
      </c>
      <c r="E13" s="14">
        <v>0.14000000000000001</v>
      </c>
      <c r="F13" s="13"/>
      <c r="G13" s="18">
        <v>9800</v>
      </c>
      <c r="H13" s="18">
        <v>20</v>
      </c>
      <c r="I13" s="18"/>
    </row>
    <row r="14" spans="1:9" x14ac:dyDescent="0.4">
      <c r="A14" s="13">
        <v>9</v>
      </c>
      <c r="B14" s="13" t="s">
        <v>90</v>
      </c>
      <c r="C14" s="13" t="s">
        <v>89</v>
      </c>
      <c r="D14" s="13">
        <v>70</v>
      </c>
      <c r="E14" s="14">
        <v>7.0000000000000007E-2</v>
      </c>
      <c r="F14" s="13"/>
      <c r="G14" s="18">
        <v>1650</v>
      </c>
      <c r="H14" s="18">
        <v>40</v>
      </c>
      <c r="I14" s="18"/>
    </row>
    <row r="15" spans="1:9" x14ac:dyDescent="0.4">
      <c r="A15" s="13">
        <v>10</v>
      </c>
      <c r="B15" s="13" t="s">
        <v>91</v>
      </c>
      <c r="C15" s="13" t="s">
        <v>92</v>
      </c>
      <c r="D15" s="13">
        <v>112</v>
      </c>
      <c r="E15" s="14">
        <v>0.16</v>
      </c>
      <c r="F15" s="13"/>
      <c r="G15" s="18">
        <v>3200</v>
      </c>
      <c r="H15" s="18">
        <v>20</v>
      </c>
      <c r="I15" s="18"/>
    </row>
    <row r="16" spans="1:9" x14ac:dyDescent="0.4">
      <c r="A16" s="13">
        <v>11</v>
      </c>
      <c r="B16" s="13" t="s">
        <v>93</v>
      </c>
      <c r="C16" s="13" t="s">
        <v>81</v>
      </c>
      <c r="D16" s="13">
        <v>92</v>
      </c>
      <c r="E16" s="14">
        <v>0.11</v>
      </c>
      <c r="F16" s="13"/>
      <c r="G16" s="18">
        <v>480</v>
      </c>
      <c r="H16" s="18">
        <v>60</v>
      </c>
      <c r="I16" s="18"/>
    </row>
    <row r="17" spans="1:9" x14ac:dyDescent="0.4">
      <c r="A17" s="13">
        <v>12</v>
      </c>
      <c r="B17" s="13" t="s">
        <v>94</v>
      </c>
      <c r="C17" s="13" t="s">
        <v>95</v>
      </c>
      <c r="D17" s="13">
        <v>135</v>
      </c>
      <c r="E17" s="14">
        <v>0.25</v>
      </c>
      <c r="F17" s="13"/>
      <c r="G17" s="18">
        <v>120</v>
      </c>
      <c r="H17" s="18">
        <v>100</v>
      </c>
      <c r="I17" s="18"/>
    </row>
    <row r="18" spans="1:9" x14ac:dyDescent="0.4">
      <c r="A18" s="13">
        <v>13</v>
      </c>
      <c r="B18" s="13" t="s">
        <v>96</v>
      </c>
      <c r="C18" s="13" t="s">
        <v>95</v>
      </c>
      <c r="D18" s="13">
        <v>75</v>
      </c>
      <c r="E18" s="14">
        <v>0.06</v>
      </c>
      <c r="F18" s="13"/>
      <c r="G18" s="18">
        <v>60</v>
      </c>
      <c r="H18" s="18">
        <v>120</v>
      </c>
      <c r="I18" s="18"/>
    </row>
    <row r="19" spans="1:9" x14ac:dyDescent="0.4">
      <c r="A19" s="13">
        <v>14</v>
      </c>
      <c r="B19" s="13" t="s">
        <v>97</v>
      </c>
      <c r="C19" s="13" t="s">
        <v>81</v>
      </c>
      <c r="D19" s="13">
        <v>88</v>
      </c>
      <c r="E19" s="14">
        <v>0.19</v>
      </c>
      <c r="F19" s="13"/>
      <c r="G19" s="18">
        <v>520</v>
      </c>
      <c r="H19" s="18">
        <v>40</v>
      </c>
      <c r="I19" s="18"/>
    </row>
    <row r="20" spans="1:9" x14ac:dyDescent="0.4">
      <c r="A20" s="13">
        <v>15</v>
      </c>
      <c r="B20" s="13" t="s">
        <v>98</v>
      </c>
      <c r="C20" s="13" t="s">
        <v>81</v>
      </c>
      <c r="D20" s="13">
        <v>42</v>
      </c>
      <c r="E20" s="14">
        <v>0.12</v>
      </c>
      <c r="F20" s="13"/>
      <c r="G20" s="18">
        <v>180</v>
      </c>
      <c r="H20" s="18">
        <v>60</v>
      </c>
      <c r="I20" s="18"/>
    </row>
    <row r="21" spans="1:9" x14ac:dyDescent="0.4">
      <c r="A21" s="13">
        <v>16</v>
      </c>
      <c r="B21" s="13" t="s">
        <v>99</v>
      </c>
      <c r="C21" s="13" t="s">
        <v>89</v>
      </c>
      <c r="D21" s="13">
        <v>61</v>
      </c>
      <c r="E21" s="14">
        <v>0.05</v>
      </c>
      <c r="F21" s="13"/>
      <c r="G21" s="18">
        <v>12800</v>
      </c>
      <c r="H21" s="18">
        <v>20</v>
      </c>
      <c r="I21" s="18"/>
    </row>
    <row r="22" spans="1:9" x14ac:dyDescent="0.4">
      <c r="A22" s="13">
        <v>17</v>
      </c>
      <c r="B22" s="13" t="s">
        <v>100</v>
      </c>
      <c r="C22" s="13" t="s">
        <v>81</v>
      </c>
      <c r="D22" s="13">
        <v>58</v>
      </c>
      <c r="E22" s="14">
        <v>0.21</v>
      </c>
      <c r="F22" s="13"/>
      <c r="G22" s="18">
        <v>3500</v>
      </c>
      <c r="H22" s="18">
        <v>20</v>
      </c>
      <c r="I22" s="18"/>
    </row>
    <row r="23" spans="1:9" x14ac:dyDescent="0.4">
      <c r="A23" s="13">
        <v>18</v>
      </c>
      <c r="B23" s="13" t="s">
        <v>101</v>
      </c>
      <c r="C23" s="13" t="s">
        <v>102</v>
      </c>
      <c r="D23" s="13">
        <v>84</v>
      </c>
      <c r="E23" s="14">
        <v>0.13</v>
      </c>
      <c r="F23" s="13"/>
      <c r="G23" s="18">
        <v>6800</v>
      </c>
      <c r="H23" s="18">
        <v>20</v>
      </c>
      <c r="I23" s="18"/>
    </row>
    <row r="24" spans="1:9" x14ac:dyDescent="0.4">
      <c r="A24" s="13">
        <v>19</v>
      </c>
      <c r="B24" s="13" t="s">
        <v>103</v>
      </c>
      <c r="C24" s="13" t="s">
        <v>92</v>
      </c>
      <c r="D24" s="13">
        <v>79</v>
      </c>
      <c r="E24" s="14">
        <v>0.08</v>
      </c>
      <c r="F24" s="13"/>
      <c r="G24" s="18">
        <v>220</v>
      </c>
      <c r="H24" s="18">
        <v>80</v>
      </c>
      <c r="I24" s="18"/>
    </row>
    <row r="25" spans="1:9" x14ac:dyDescent="0.4">
      <c r="A25" s="13">
        <v>20</v>
      </c>
      <c r="B25" s="13" t="s">
        <v>104</v>
      </c>
      <c r="C25" s="13" t="s">
        <v>92</v>
      </c>
      <c r="D25" s="13">
        <v>95</v>
      </c>
      <c r="E25" s="14">
        <v>0.27</v>
      </c>
      <c r="F25" s="13"/>
      <c r="G25" s="18">
        <v>980</v>
      </c>
      <c r="H25" s="18">
        <v>40</v>
      </c>
      <c r="I25" s="18"/>
    </row>
    <row r="26" spans="1:9" x14ac:dyDescent="0.4">
      <c r="A26" s="13">
        <v>21</v>
      </c>
      <c r="B26" s="13" t="s">
        <v>105</v>
      </c>
      <c r="C26" s="13" t="s">
        <v>95</v>
      </c>
      <c r="D26" s="13">
        <v>145</v>
      </c>
      <c r="E26" s="14">
        <v>0.1</v>
      </c>
      <c r="F26" s="13"/>
      <c r="G26" s="18">
        <v>150</v>
      </c>
      <c r="H26" s="18">
        <v>100</v>
      </c>
      <c r="I26" s="18"/>
    </row>
    <row r="27" spans="1:9" x14ac:dyDescent="0.4">
      <c r="A27" s="13">
        <v>22</v>
      </c>
      <c r="B27" s="13" t="s">
        <v>106</v>
      </c>
      <c r="C27" s="13" t="s">
        <v>95</v>
      </c>
      <c r="D27" s="13">
        <v>110</v>
      </c>
      <c r="E27" s="14">
        <v>0.17</v>
      </c>
      <c r="F27" s="13"/>
      <c r="G27" s="18">
        <v>420</v>
      </c>
      <c r="H27" s="18">
        <v>40</v>
      </c>
      <c r="I27" s="18"/>
    </row>
    <row r="28" spans="1:9" x14ac:dyDescent="0.4">
      <c r="A28" s="13">
        <v>23</v>
      </c>
      <c r="B28" s="13" t="s">
        <v>123</v>
      </c>
      <c r="C28" s="13" t="s">
        <v>81</v>
      </c>
      <c r="D28" s="13">
        <v>156</v>
      </c>
      <c r="E28" s="14">
        <v>0.06</v>
      </c>
      <c r="F28" s="13"/>
      <c r="G28" s="18">
        <v>90</v>
      </c>
      <c r="H28" s="18">
        <v>120</v>
      </c>
      <c r="I28" s="18"/>
    </row>
    <row r="29" spans="1:9" x14ac:dyDescent="0.4">
      <c r="A29" s="13">
        <v>24</v>
      </c>
      <c r="B29" s="13" t="s">
        <v>107</v>
      </c>
      <c r="C29" s="13" t="s">
        <v>81</v>
      </c>
      <c r="D29" s="13">
        <v>97</v>
      </c>
      <c r="E29" s="14">
        <v>0.24</v>
      </c>
      <c r="F29" s="13"/>
      <c r="G29" s="18">
        <v>1800</v>
      </c>
      <c r="H29" s="18">
        <v>20</v>
      </c>
      <c r="I29" s="18"/>
    </row>
    <row r="30" spans="1:9" x14ac:dyDescent="0.4">
      <c r="A30" s="13">
        <v>25</v>
      </c>
      <c r="B30" s="13" t="s">
        <v>108</v>
      </c>
      <c r="C30" s="13" t="s">
        <v>81</v>
      </c>
      <c r="D30" s="13">
        <v>72</v>
      </c>
      <c r="E30" s="14">
        <v>0.09</v>
      </c>
      <c r="F30" s="13"/>
      <c r="G30" s="18">
        <v>980</v>
      </c>
      <c r="H30" s="18">
        <v>40</v>
      </c>
      <c r="I30" s="18"/>
    </row>
    <row r="31" spans="1:9" x14ac:dyDescent="0.4">
      <c r="A31" s="13">
        <v>26</v>
      </c>
      <c r="B31" s="13" t="s">
        <v>109</v>
      </c>
      <c r="C31" s="13" t="s">
        <v>110</v>
      </c>
      <c r="D31" s="13">
        <v>104</v>
      </c>
      <c r="E31" s="14">
        <v>0.15</v>
      </c>
      <c r="F31" s="13"/>
      <c r="G31" s="18">
        <v>620</v>
      </c>
      <c r="H31" s="18">
        <v>40</v>
      </c>
      <c r="I31" s="18"/>
    </row>
    <row r="32" spans="1:9" x14ac:dyDescent="0.4">
      <c r="A32" s="13">
        <v>27</v>
      </c>
      <c r="B32" s="13" t="s">
        <v>111</v>
      </c>
      <c r="C32" s="13" t="s">
        <v>110</v>
      </c>
      <c r="D32" s="13">
        <v>68</v>
      </c>
      <c r="E32" s="14">
        <v>0.11</v>
      </c>
      <c r="F32" s="13"/>
      <c r="G32" s="18">
        <v>38</v>
      </c>
      <c r="H32" s="18">
        <v>200</v>
      </c>
      <c r="I32" s="18"/>
    </row>
    <row r="33" spans="1:9" x14ac:dyDescent="0.4">
      <c r="A33" s="13">
        <v>28</v>
      </c>
      <c r="B33" s="13" t="s">
        <v>112</v>
      </c>
      <c r="C33" s="13" t="s">
        <v>110</v>
      </c>
      <c r="D33" s="13">
        <v>54</v>
      </c>
      <c r="E33" s="14">
        <v>0.28000000000000003</v>
      </c>
      <c r="F33" s="13"/>
      <c r="G33" s="18">
        <v>2400</v>
      </c>
      <c r="H33" s="18">
        <v>20</v>
      </c>
      <c r="I33" s="18"/>
    </row>
    <row r="34" spans="1:9" x14ac:dyDescent="0.4">
      <c r="A34" s="13">
        <v>29</v>
      </c>
      <c r="B34" s="13" t="s">
        <v>113</v>
      </c>
      <c r="C34" s="13" t="s">
        <v>81</v>
      </c>
      <c r="D34" s="13">
        <v>170</v>
      </c>
      <c r="E34" s="14">
        <v>7.0000000000000007E-2</v>
      </c>
      <c r="F34" s="13"/>
      <c r="G34" s="18">
        <v>120</v>
      </c>
      <c r="H34" s="18">
        <v>100</v>
      </c>
      <c r="I34" s="18"/>
    </row>
    <row r="35" spans="1:9" x14ac:dyDescent="0.4">
      <c r="A35" s="13">
        <v>30</v>
      </c>
      <c r="B35" s="13" t="s">
        <v>114</v>
      </c>
      <c r="C35" s="13" t="s">
        <v>92</v>
      </c>
      <c r="D35" s="13">
        <v>138</v>
      </c>
      <c r="E35" s="14">
        <v>0.2</v>
      </c>
      <c r="F35" s="13"/>
      <c r="G35" s="18">
        <v>480</v>
      </c>
      <c r="H35" s="18">
        <v>40</v>
      </c>
      <c r="I35" s="18"/>
    </row>
  </sheetData>
  <mergeCells count="1">
    <mergeCell ref="A1:I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7D94D-42FB-4BAB-9EAB-386A962D8B27}">
  <dimension ref="A1:F24"/>
  <sheetViews>
    <sheetView workbookViewId="0">
      <selection sqref="A1:E1"/>
    </sheetView>
  </sheetViews>
  <sheetFormatPr defaultRowHeight="18.75" x14ac:dyDescent="0.4"/>
  <cols>
    <col min="2" max="2" width="19.25" bestFit="1" customWidth="1"/>
    <col min="3" max="3" width="14.25" customWidth="1"/>
    <col min="4" max="5" width="13.25" customWidth="1"/>
  </cols>
  <sheetData>
    <row r="1" spans="1:6" ht="24" x14ac:dyDescent="0.4">
      <c r="A1" s="38" t="s">
        <v>129</v>
      </c>
      <c r="B1" s="38"/>
      <c r="C1" s="38"/>
      <c r="D1" s="38"/>
      <c r="E1" s="38"/>
      <c r="F1" s="5"/>
    </row>
    <row r="3" spans="1:6" s="19" customFormat="1" ht="19.5" x14ac:dyDescent="0.4">
      <c r="A3" s="20" t="s">
        <v>0</v>
      </c>
      <c r="B3" s="20" t="s">
        <v>44</v>
      </c>
      <c r="C3" s="20" t="s">
        <v>115</v>
      </c>
      <c r="D3" s="20" t="s">
        <v>116</v>
      </c>
      <c r="E3" s="20" t="s">
        <v>117</v>
      </c>
    </row>
    <row r="4" spans="1:6" ht="20.25" customHeight="1" x14ac:dyDescent="0.4">
      <c r="A4" s="21">
        <v>1</v>
      </c>
      <c r="B4" s="21" t="s">
        <v>49</v>
      </c>
      <c r="C4" s="22">
        <v>46327</v>
      </c>
      <c r="D4" s="2" cm="1">
        <f t="array" ref="D4:D23">_xlfn.SEQUENCE(20,1,8,0.5)/24</f>
        <v>0.33333333333333331</v>
      </c>
      <c r="E4" s="23">
        <v>0.34375</v>
      </c>
    </row>
    <row r="5" spans="1:6" ht="20.25" customHeight="1" x14ac:dyDescent="0.4">
      <c r="A5" s="21">
        <v>2</v>
      </c>
      <c r="B5" s="21" t="s">
        <v>51</v>
      </c>
      <c r="C5" s="22">
        <v>46327</v>
      </c>
      <c r="D5" s="23">
        <v>0.35416666666666669</v>
      </c>
      <c r="E5" s="23">
        <v>0.35416666666666669</v>
      </c>
    </row>
    <row r="6" spans="1:6" ht="20.25" customHeight="1" x14ac:dyDescent="0.4">
      <c r="A6" s="21">
        <v>3</v>
      </c>
      <c r="B6" s="21" t="s">
        <v>54</v>
      </c>
      <c r="C6" s="22">
        <v>46327</v>
      </c>
      <c r="D6" s="23">
        <v>0.375</v>
      </c>
      <c r="E6" s="23">
        <v>0.36458333333333298</v>
      </c>
    </row>
    <row r="7" spans="1:6" ht="20.25" customHeight="1" x14ac:dyDescent="0.4">
      <c r="A7" s="21">
        <v>4</v>
      </c>
      <c r="B7" s="21" t="s">
        <v>57</v>
      </c>
      <c r="C7" s="22">
        <v>46327</v>
      </c>
      <c r="D7" s="23">
        <v>0.39583333333333331</v>
      </c>
      <c r="E7" s="23">
        <v>0.375</v>
      </c>
    </row>
    <row r="8" spans="1:6" ht="20.25" customHeight="1" x14ac:dyDescent="0.4">
      <c r="A8" s="21">
        <v>5</v>
      </c>
      <c r="B8" s="21" t="s">
        <v>59</v>
      </c>
      <c r="C8" s="22">
        <v>46328</v>
      </c>
      <c r="D8" s="23">
        <v>0.41666666666666669</v>
      </c>
      <c r="E8" s="23">
        <v>0.38541666666666702</v>
      </c>
    </row>
    <row r="9" spans="1:6" ht="20.25" customHeight="1" x14ac:dyDescent="0.4">
      <c r="A9" s="21">
        <v>6</v>
      </c>
      <c r="B9" s="21" t="s">
        <v>61</v>
      </c>
      <c r="C9" s="22">
        <v>46328</v>
      </c>
      <c r="D9" s="23">
        <v>0.4375</v>
      </c>
      <c r="E9" s="23">
        <v>0.39583333333333298</v>
      </c>
    </row>
    <row r="10" spans="1:6" ht="20.25" customHeight="1" x14ac:dyDescent="0.4">
      <c r="A10" s="21">
        <v>7</v>
      </c>
      <c r="B10" s="21" t="s">
        <v>64</v>
      </c>
      <c r="C10" s="22">
        <v>46328</v>
      </c>
      <c r="D10" s="23">
        <v>0.45833333333333331</v>
      </c>
      <c r="E10" s="23">
        <v>0.40625</v>
      </c>
    </row>
    <row r="11" spans="1:6" ht="20.25" customHeight="1" x14ac:dyDescent="0.4">
      <c r="A11" s="21">
        <v>8</v>
      </c>
      <c r="B11" s="21" t="s">
        <v>66</v>
      </c>
      <c r="C11" s="22">
        <v>46328</v>
      </c>
      <c r="D11" s="23">
        <v>0.47916666666666669</v>
      </c>
      <c r="E11" s="23">
        <v>0.41666666666666702</v>
      </c>
    </row>
    <row r="12" spans="1:6" ht="20.25" customHeight="1" x14ac:dyDescent="0.4">
      <c r="A12" s="21">
        <v>9</v>
      </c>
      <c r="B12" s="21" t="s">
        <v>68</v>
      </c>
      <c r="C12" s="22">
        <v>46329</v>
      </c>
      <c r="D12" s="23">
        <v>0.5</v>
      </c>
      <c r="E12" s="23">
        <v>0.42708333333333298</v>
      </c>
    </row>
    <row r="13" spans="1:6" ht="20.25" customHeight="1" x14ac:dyDescent="0.4">
      <c r="A13" s="21">
        <v>10</v>
      </c>
      <c r="B13" s="21" t="s">
        <v>70</v>
      </c>
      <c r="C13" s="22">
        <v>46329</v>
      </c>
      <c r="D13" s="23">
        <v>0.52083333333333337</v>
      </c>
      <c r="E13" s="23">
        <v>0.4375</v>
      </c>
    </row>
    <row r="14" spans="1:6" ht="20.25" customHeight="1" x14ac:dyDescent="0.4">
      <c r="A14" s="21">
        <v>11</v>
      </c>
      <c r="B14" s="21" t="s">
        <v>49</v>
      </c>
      <c r="C14" s="22">
        <v>46329</v>
      </c>
      <c r="D14" s="23">
        <v>0.54166666666666663</v>
      </c>
      <c r="E14" s="23">
        <v>0.44791666666666702</v>
      </c>
    </row>
    <row r="15" spans="1:6" ht="20.25" customHeight="1" x14ac:dyDescent="0.4">
      <c r="A15" s="21">
        <v>12</v>
      </c>
      <c r="B15" s="21" t="s">
        <v>51</v>
      </c>
      <c r="C15" s="22">
        <v>46329</v>
      </c>
      <c r="D15" s="23">
        <v>0.5625</v>
      </c>
      <c r="E15" s="23">
        <v>0.45833333333333398</v>
      </c>
    </row>
    <row r="16" spans="1:6" ht="20.25" customHeight="1" x14ac:dyDescent="0.4">
      <c r="A16" s="21">
        <v>13</v>
      </c>
      <c r="B16" s="21" t="s">
        <v>54</v>
      </c>
      <c r="C16" s="22">
        <v>46330</v>
      </c>
      <c r="D16" s="23">
        <v>0.58333333333333337</v>
      </c>
      <c r="E16" s="23">
        <v>0.46875</v>
      </c>
    </row>
    <row r="17" spans="1:5" ht="20.25" customHeight="1" x14ac:dyDescent="0.4">
      <c r="A17" s="21">
        <v>14</v>
      </c>
      <c r="B17" s="21" t="s">
        <v>57</v>
      </c>
      <c r="C17" s="22">
        <v>46330</v>
      </c>
      <c r="D17" s="23">
        <v>0.60416666666666663</v>
      </c>
      <c r="E17" s="23">
        <v>0.47916666666666702</v>
      </c>
    </row>
    <row r="18" spans="1:5" ht="20.25" customHeight="1" x14ac:dyDescent="0.4">
      <c r="A18" s="21">
        <v>15</v>
      </c>
      <c r="B18" s="21" t="s">
        <v>59</v>
      </c>
      <c r="C18" s="22">
        <v>46330</v>
      </c>
      <c r="D18" s="23">
        <v>0.625</v>
      </c>
      <c r="E18" s="23">
        <v>0.48958333333333398</v>
      </c>
    </row>
    <row r="19" spans="1:5" ht="20.25" customHeight="1" x14ac:dyDescent="0.4">
      <c r="A19" s="21">
        <v>16</v>
      </c>
      <c r="B19" s="21" t="s">
        <v>61</v>
      </c>
      <c r="C19" s="22">
        <v>46330</v>
      </c>
      <c r="D19" s="23">
        <v>0.64583333333333337</v>
      </c>
      <c r="E19" s="23">
        <v>0.5</v>
      </c>
    </row>
    <row r="20" spans="1:5" ht="20.25" customHeight="1" x14ac:dyDescent="0.4">
      <c r="A20" s="21">
        <v>17</v>
      </c>
      <c r="B20" s="21" t="s">
        <v>64</v>
      </c>
      <c r="C20" s="22">
        <v>46331</v>
      </c>
      <c r="D20" s="23">
        <v>0.66666666666666663</v>
      </c>
      <c r="E20" s="23">
        <v>0.51041666666666696</v>
      </c>
    </row>
    <row r="21" spans="1:5" ht="20.25" customHeight="1" x14ac:dyDescent="0.4">
      <c r="A21" s="21">
        <v>18</v>
      </c>
      <c r="B21" s="21" t="s">
        <v>66</v>
      </c>
      <c r="C21" s="22">
        <v>46331</v>
      </c>
      <c r="D21" s="23">
        <v>0.6875</v>
      </c>
      <c r="E21" s="23">
        <v>0.52083333333333404</v>
      </c>
    </row>
    <row r="22" spans="1:5" ht="20.25" customHeight="1" x14ac:dyDescent="0.4">
      <c r="A22" s="21">
        <v>19</v>
      </c>
      <c r="B22" s="21" t="s">
        <v>68</v>
      </c>
      <c r="C22" s="22">
        <v>46331</v>
      </c>
      <c r="D22" s="23">
        <v>0.70833333333333337</v>
      </c>
      <c r="E22" s="23">
        <v>0.53125</v>
      </c>
    </row>
    <row r="23" spans="1:5" ht="20.25" customHeight="1" x14ac:dyDescent="0.4">
      <c r="A23" s="21">
        <v>20</v>
      </c>
      <c r="B23" s="21" t="s">
        <v>70</v>
      </c>
      <c r="C23" s="22">
        <v>46331</v>
      </c>
      <c r="D23" s="23">
        <v>0.72916666666666663</v>
      </c>
      <c r="E23" s="23">
        <v>0.54166666666666696</v>
      </c>
    </row>
    <row r="24" spans="1:5" x14ac:dyDescent="0.4">
      <c r="D24" s="2"/>
    </row>
  </sheetData>
  <mergeCells count="1">
    <mergeCell ref="A1:E1"/>
  </mergeCells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4100-EAD4-4A46-934E-CB81EDFCBCBE}">
  <dimension ref="A1:J18"/>
  <sheetViews>
    <sheetView workbookViewId="0"/>
  </sheetViews>
  <sheetFormatPr defaultRowHeight="18.75" x14ac:dyDescent="0.4"/>
  <cols>
    <col min="1" max="1" width="5.375" customWidth="1"/>
    <col min="2" max="2" width="20.375" customWidth="1"/>
    <col min="3" max="3" width="10" customWidth="1"/>
    <col min="4" max="4" width="10.25" customWidth="1"/>
    <col min="8" max="8" width="22.625" customWidth="1"/>
    <col min="9" max="9" width="10.25" customWidth="1"/>
    <col min="10" max="10" width="11.75" customWidth="1"/>
    <col min="11" max="11" width="12.75" customWidth="1"/>
  </cols>
  <sheetData>
    <row r="1" spans="1:10" x14ac:dyDescent="0.4">
      <c r="A1" s="5"/>
      <c r="B1" s="5"/>
      <c r="C1" s="5"/>
      <c r="D1" s="5"/>
      <c r="E1" s="5"/>
      <c r="F1" s="5"/>
    </row>
    <row r="2" spans="1:10" ht="19.5" x14ac:dyDescent="0.4">
      <c r="A2" s="35" t="s">
        <v>124</v>
      </c>
      <c r="H2" s="35" t="s">
        <v>125</v>
      </c>
    </row>
    <row r="3" spans="1:10" s="1" customFormat="1" ht="20.25" thickBot="1" x14ac:dyDescent="0.45">
      <c r="A3" s="25" t="s">
        <v>0</v>
      </c>
      <c r="B3" s="25" t="s">
        <v>44</v>
      </c>
      <c r="C3" s="25" t="s">
        <v>45</v>
      </c>
      <c r="D3" s="26" t="s">
        <v>118</v>
      </c>
      <c r="H3" s="34" t="s">
        <v>44</v>
      </c>
      <c r="I3" s="34" t="s">
        <v>45</v>
      </c>
      <c r="J3" s="34" t="s">
        <v>118</v>
      </c>
    </row>
    <row r="4" spans="1:10" x14ac:dyDescent="0.4">
      <c r="A4" s="27">
        <v>1</v>
      </c>
      <c r="B4" s="27" t="s">
        <v>49</v>
      </c>
      <c r="C4" s="27" t="s">
        <v>7</v>
      </c>
      <c r="D4" s="28">
        <v>86</v>
      </c>
    </row>
    <row r="5" spans="1:10" x14ac:dyDescent="0.4">
      <c r="A5" s="29">
        <v>2</v>
      </c>
      <c r="B5" s="29" t="s">
        <v>51</v>
      </c>
      <c r="C5" s="29" t="s">
        <v>52</v>
      </c>
      <c r="D5" s="30">
        <v>63</v>
      </c>
    </row>
    <row r="6" spans="1:10" x14ac:dyDescent="0.4">
      <c r="A6" s="31">
        <v>3</v>
      </c>
      <c r="B6" s="31" t="s">
        <v>54</v>
      </c>
      <c r="C6" s="31" t="s">
        <v>55</v>
      </c>
      <c r="D6" s="32">
        <v>132</v>
      </c>
    </row>
    <row r="7" spans="1:10" x14ac:dyDescent="0.4">
      <c r="A7" s="29">
        <v>4</v>
      </c>
      <c r="B7" s="29" t="s">
        <v>57</v>
      </c>
      <c r="C7" s="29" t="s">
        <v>6</v>
      </c>
      <c r="D7" s="30">
        <v>57</v>
      </c>
    </row>
    <row r="8" spans="1:10" x14ac:dyDescent="0.4">
      <c r="A8" s="31">
        <v>5</v>
      </c>
      <c r="B8" s="31" t="s">
        <v>59</v>
      </c>
      <c r="C8" s="31" t="s">
        <v>12</v>
      </c>
      <c r="D8" s="32">
        <v>98</v>
      </c>
    </row>
    <row r="9" spans="1:10" x14ac:dyDescent="0.4">
      <c r="A9" s="29">
        <v>6</v>
      </c>
      <c r="B9" s="29" t="s">
        <v>61</v>
      </c>
      <c r="C9" s="29" t="s">
        <v>62</v>
      </c>
      <c r="D9" s="30">
        <v>44</v>
      </c>
    </row>
    <row r="10" spans="1:10" x14ac:dyDescent="0.4">
      <c r="A10" s="31">
        <v>7</v>
      </c>
      <c r="B10" s="31" t="s">
        <v>64</v>
      </c>
      <c r="C10" s="31" t="s">
        <v>11</v>
      </c>
      <c r="D10" s="32">
        <v>115</v>
      </c>
    </row>
    <row r="11" spans="1:10" x14ac:dyDescent="0.4">
      <c r="A11" s="29">
        <v>8</v>
      </c>
      <c r="B11" s="29" t="s">
        <v>66</v>
      </c>
      <c r="C11" s="29" t="s">
        <v>8</v>
      </c>
      <c r="D11" s="30">
        <v>73</v>
      </c>
    </row>
    <row r="12" spans="1:10" x14ac:dyDescent="0.4">
      <c r="A12" s="31">
        <v>9</v>
      </c>
      <c r="B12" s="31" t="s">
        <v>68</v>
      </c>
      <c r="C12" s="31" t="s">
        <v>9</v>
      </c>
      <c r="D12" s="32">
        <v>101</v>
      </c>
    </row>
    <row r="13" spans="1:10" x14ac:dyDescent="0.4">
      <c r="A13" s="29">
        <v>10</v>
      </c>
      <c r="B13" s="29" t="s">
        <v>70</v>
      </c>
      <c r="C13" s="29" t="s">
        <v>10</v>
      </c>
      <c r="D13" s="30">
        <v>69</v>
      </c>
    </row>
    <row r="14" spans="1:10" x14ac:dyDescent="0.4">
      <c r="A14" s="31">
        <v>11</v>
      </c>
      <c r="B14" s="31" t="s">
        <v>49</v>
      </c>
      <c r="C14" s="31" t="s">
        <v>7</v>
      </c>
      <c r="D14" s="32">
        <v>95</v>
      </c>
    </row>
    <row r="15" spans="1:10" x14ac:dyDescent="0.4">
      <c r="A15" s="29">
        <v>12</v>
      </c>
      <c r="B15" s="29" t="s">
        <v>51</v>
      </c>
      <c r="C15" s="29" t="s">
        <v>52</v>
      </c>
      <c r="D15" s="30">
        <v>88</v>
      </c>
    </row>
    <row r="16" spans="1:10" x14ac:dyDescent="0.4">
      <c r="A16" s="31">
        <v>13</v>
      </c>
      <c r="B16" s="31" t="s">
        <v>54</v>
      </c>
      <c r="C16" s="31" t="s">
        <v>55</v>
      </c>
      <c r="D16" s="32">
        <v>124</v>
      </c>
    </row>
    <row r="17" spans="1:4" x14ac:dyDescent="0.4">
      <c r="A17" s="29">
        <v>14</v>
      </c>
      <c r="B17" s="29" t="s">
        <v>57</v>
      </c>
      <c r="C17" s="29" t="s">
        <v>6</v>
      </c>
      <c r="D17" s="30">
        <v>61</v>
      </c>
    </row>
    <row r="18" spans="1:4" x14ac:dyDescent="0.4">
      <c r="A18" s="33">
        <v>15</v>
      </c>
      <c r="B18" s="33" t="s">
        <v>59</v>
      </c>
      <c r="C18" s="33" t="s">
        <v>12</v>
      </c>
      <c r="D18" s="24">
        <v>109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3425B-2600-4658-B240-E603F09C1EBF}">
  <dimension ref="A1:F1"/>
  <sheetViews>
    <sheetView workbookViewId="0"/>
  </sheetViews>
  <sheetFormatPr defaultRowHeight="18.75" x14ac:dyDescent="0.4"/>
  <cols>
    <col min="1" max="1" width="6.375" bestFit="1" customWidth="1"/>
    <col min="2" max="2" width="9.375" bestFit="1" customWidth="1"/>
    <col min="3" max="3" width="11.5" bestFit="1" customWidth="1"/>
    <col min="4" max="4" width="19.25" bestFit="1" customWidth="1"/>
    <col min="5" max="5" width="9.375" bestFit="1" customWidth="1"/>
    <col min="6" max="6" width="7.5" bestFit="1" customWidth="1"/>
  </cols>
  <sheetData>
    <row r="1" spans="1:6" ht="19.5" x14ac:dyDescent="0.4">
      <c r="A1" s="42" t="s">
        <v>126</v>
      </c>
      <c r="B1" s="41"/>
      <c r="C1" s="41"/>
      <c r="D1" s="41"/>
      <c r="E1" s="41"/>
      <c r="F1" s="4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C46E11-C024-42D2-9679-CD9E31B47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添乗員名簿</vt:lpstr>
      <vt:lpstr>旅行清算</vt:lpstr>
      <vt:lpstr>旅行備品在庫</vt:lpstr>
      <vt:lpstr>ツアー日程</vt:lpstr>
      <vt:lpstr>予約実績</vt:lpstr>
      <vt:lpstr>旅行備品表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2026-06-25T08:30:42Z</dcterms:created>
  <dcterms:modified xsi:type="dcterms:W3CDTF">2026-07-10T06:22:20Z</dcterms:modified>
</cp:coreProperties>
</file>