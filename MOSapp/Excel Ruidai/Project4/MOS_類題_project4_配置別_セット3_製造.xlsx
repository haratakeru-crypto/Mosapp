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ouza\Desktop\類題問題\★完成\類題 操作ファイル\"/>
    </mc:Choice>
  </mc:AlternateContent>
  <xr:revisionPtr revIDLastSave="0" documentId="13_ncr:1_{3547C968-8C18-444E-BE34-503C7FEB5D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部品出荷表" sheetId="2" r:id="rId1"/>
    <sheet name="工場5年実績" sheetId="3" r:id="rId2"/>
    <sheet name="資材下半期" sheetId="4" r:id="rId3"/>
    <sheet name="第一工場売上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2" l="1"/>
  <c r="K7" i="2"/>
  <c r="K8" i="2"/>
  <c r="K9" i="2"/>
  <c r="K10" i="2"/>
  <c r="K5" i="2"/>
  <c r="B11" i="4"/>
  <c r="C11" i="4"/>
  <c r="D11" i="4"/>
  <c r="E11" i="4"/>
  <c r="C10" i="3"/>
  <c r="D10" i="3"/>
  <c r="E10" i="3"/>
  <c r="F10" i="3"/>
  <c r="G10" i="3"/>
  <c r="F11" i="4"/>
</calcChain>
</file>

<file path=xl/sharedStrings.xml><?xml version="1.0" encoding="utf-8"?>
<sst xmlns="http://schemas.openxmlformats.org/spreadsheetml/2006/main" count="74" uniqueCount="64">
  <si>
    <t>部品出荷 月次推移</t>
  </si>
  <si>
    <t>部品名</t>
  </si>
  <si>
    <t>区分</t>
  </si>
  <si>
    <t>ロット</t>
  </si>
  <si>
    <t>1月</t>
  </si>
  <si>
    <t>2月</t>
  </si>
  <si>
    <t>3月</t>
  </si>
  <si>
    <t>4月</t>
  </si>
  <si>
    <t>5月</t>
  </si>
  <si>
    <t>6月</t>
  </si>
  <si>
    <t>スクリュー</t>
  </si>
  <si>
    <t>特注</t>
  </si>
  <si>
    <t>L614</t>
  </si>
  <si>
    <t>ナット</t>
  </si>
  <si>
    <t>標準</t>
  </si>
  <si>
    <t>L170</t>
  </si>
  <si>
    <t>ベアリング</t>
  </si>
  <si>
    <t>L692</t>
  </si>
  <si>
    <t>ギア</t>
  </si>
  <si>
    <t>L367</t>
  </si>
  <si>
    <t>シャフト</t>
  </si>
  <si>
    <t>L234</t>
  </si>
  <si>
    <t>コネクタ</t>
  </si>
  <si>
    <t>L109</t>
  </si>
  <si>
    <t>工場製品 5年度売上比較</t>
  </si>
  <si>
    <t>ユニットA</t>
  </si>
  <si>
    <t>ユニットB</t>
  </si>
  <si>
    <t>モジュールC</t>
  </si>
  <si>
    <t>モジュールD</t>
  </si>
  <si>
    <t>コンポE</t>
  </si>
  <si>
    <t>アセンブリF</t>
  </si>
  <si>
    <t>資材 下半期売上集計</t>
  </si>
  <si>
    <t>資材名</t>
  </si>
  <si>
    <t>第3Q</t>
  </si>
  <si>
    <t>第4Q</t>
  </si>
  <si>
    <t>累計</t>
  </si>
  <si>
    <t>平均</t>
  </si>
  <si>
    <t>売上合計</t>
  </si>
  <si>
    <t>鋼材</t>
  </si>
  <si>
    <t>アルミ板</t>
  </si>
  <si>
    <t>樹脂部材</t>
  </si>
  <si>
    <t>電子部品</t>
  </si>
  <si>
    <t>ケーブル</t>
  </si>
  <si>
    <t>塗料</t>
  </si>
  <si>
    <t>ゴム部材</t>
  </si>
  <si>
    <t>第一工場 月次売上</t>
  </si>
  <si>
    <t>月</t>
  </si>
  <si>
    <t>売上</t>
  </si>
  <si>
    <t>7月</t>
  </si>
  <si>
    <t>8月</t>
  </si>
  <si>
    <t>9月</t>
  </si>
  <si>
    <t>10月</t>
  </si>
  <si>
    <t>11月</t>
  </si>
  <si>
    <t>12月</t>
  </si>
  <si>
    <t>集計</t>
  </si>
  <si>
    <t>合計</t>
    <rPh sb="0" eb="2">
      <t>ゴウケイ</t>
    </rPh>
    <phoneticPr fontId="2"/>
  </si>
  <si>
    <t>合　計</t>
    <rPh sb="0" eb="1">
      <t>ア</t>
    </rPh>
    <rPh sb="2" eb="3">
      <t>ケイ</t>
    </rPh>
    <phoneticPr fontId="2"/>
  </si>
  <si>
    <t>売上推移</t>
    <rPh sb="0" eb="2">
      <t>ウリアゲ</t>
    </rPh>
    <rPh sb="2" eb="4">
      <t>スイイ</t>
    </rPh>
    <phoneticPr fontId="2"/>
  </si>
  <si>
    <t>2022年</t>
    <rPh sb="4" eb="5">
      <t>ネン</t>
    </rPh>
    <phoneticPr fontId="2"/>
  </si>
  <si>
    <t>2019年</t>
    <rPh sb="4" eb="5">
      <t>ネン</t>
    </rPh>
    <phoneticPr fontId="2"/>
  </si>
  <si>
    <t>2020年</t>
    <rPh sb="4" eb="5">
      <t>ネン</t>
    </rPh>
    <phoneticPr fontId="2"/>
  </si>
  <si>
    <t>2021年</t>
    <rPh sb="4" eb="5">
      <t>ネン</t>
    </rPh>
    <phoneticPr fontId="2"/>
  </si>
  <si>
    <t>2023年</t>
    <rPh sb="4" eb="5">
      <t>ネン</t>
    </rPh>
    <phoneticPr fontId="2"/>
  </si>
  <si>
    <t>製品名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</si>
</sst>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b/>
      <sz val="11"/>
      <name val="ＭＳ Ｐゴシック"/>
      <family val="3"/>
      <charset val="128"/>
    </font>
    <font>
      <sz val="11"/>
      <name val="游ゴシック"/>
      <family val="2"/>
      <scheme val="minor"/>
    </font>
    <font>
      <b/>
      <sz val="11"/>
      <name val="游ゴシック"/>
      <family val="2"/>
      <scheme val="minor"/>
    </font>
    <font>
      <b/>
      <sz val="16"/>
      <name val="ＭＳ Ｐ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1"/>
      <color theme="0"/>
      <name val="ＭＳ Ｐゴシック"/>
      <family val="3"/>
      <charset val="128"/>
    </font>
    <font>
      <b/>
      <sz val="16"/>
      <color theme="0"/>
      <name val="ＭＳ Ｐゴシック"/>
      <family val="3"/>
      <charset val="128"/>
    </font>
    <font>
      <sz val="11"/>
      <color theme="0"/>
      <name val="游ゴシック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7" xfId="0" applyBorder="1" applyAlignment="1">
      <alignment horizontal="center" vertical="center"/>
    </xf>
    <xf numFmtId="3" fontId="0" fillId="0" borderId="7" xfId="0" applyNumberFormat="1" applyBorder="1" applyAlignment="1">
      <alignment vertical="center"/>
    </xf>
    <xf numFmtId="3" fontId="4" fillId="0" borderId="1" xfId="0" applyNumberFormat="1" applyFont="1" applyFill="1" applyBorder="1" applyAlignment="1">
      <alignment vertical="center"/>
    </xf>
    <xf numFmtId="3" fontId="4" fillId="0" borderId="2" xfId="0" applyNumberFormat="1" applyFont="1" applyFill="1" applyBorder="1" applyAlignment="1">
      <alignment vertical="center"/>
    </xf>
    <xf numFmtId="3" fontId="4" fillId="0" borderId="3" xfId="0" applyNumberFormat="1" applyFont="1" applyFill="1" applyBorder="1" applyAlignment="1">
      <alignment vertical="center"/>
    </xf>
    <xf numFmtId="3" fontId="4" fillId="0" borderId="4" xfId="0" applyNumberFormat="1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 indent="1"/>
    </xf>
    <xf numFmtId="3" fontId="4" fillId="0" borderId="4" xfId="0" applyNumberFormat="1" applyFont="1" applyBorder="1" applyAlignment="1">
      <alignment horizontal="right" vertical="center"/>
    </xf>
    <xf numFmtId="3" fontId="4" fillId="0" borderId="3" xfId="0" applyNumberFormat="1" applyFont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right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left" vertical="center"/>
    </xf>
    <xf numFmtId="3" fontId="0" fillId="0" borderId="4" xfId="0" applyNumberFormat="1" applyFont="1" applyBorder="1" applyAlignment="1">
      <alignment vertical="center"/>
    </xf>
    <xf numFmtId="3" fontId="0" fillId="0" borderId="3" xfId="0" applyNumberFormat="1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/>
    <xf numFmtId="3" fontId="5" fillId="3" borderId="2" xfId="0" applyNumberFormat="1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center" vertical="center"/>
    </xf>
    <xf numFmtId="3" fontId="8" fillId="5" borderId="2" xfId="0" applyNumberFormat="1" applyFont="1" applyFill="1" applyBorder="1" applyAlignment="1">
      <alignment vertical="center"/>
    </xf>
    <xf numFmtId="3" fontId="7" fillId="5" borderId="1" xfId="0" applyNumberFormat="1" applyFont="1" applyFill="1" applyBorder="1" applyAlignment="1">
      <alignment vertical="center"/>
    </xf>
    <xf numFmtId="0" fontId="4" fillId="0" borderId="4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11" fillId="7" borderId="9" xfId="0" applyFont="1" applyFill="1" applyBorder="1"/>
    <xf numFmtId="0" fontId="3" fillId="8" borderId="8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5" xfId="0" applyFont="1" applyBorder="1"/>
    <xf numFmtId="0" fontId="10" fillId="9" borderId="0" xfId="0" applyFont="1" applyFill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FFFFB3"/>
      <color rgb="FFF0EA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第一工場 月次売上</a:t>
            </a:r>
            <a:endParaRPr lang="ja-JP" alt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第一工場売上!$C$3</c:f>
              <c:strCache>
                <c:ptCount val="1"/>
                <c:pt idx="0">
                  <c:v>売上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第一工場売上!$B$4:$B$15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第一工場売上!$C$4:$C$15</c:f>
              <c:numCache>
                <c:formatCode>#,##0</c:formatCode>
                <c:ptCount val="12"/>
                <c:pt idx="0">
                  <c:v>16789760</c:v>
                </c:pt>
                <c:pt idx="1">
                  <c:v>13421791</c:v>
                </c:pt>
                <c:pt idx="2">
                  <c:v>22825539</c:v>
                </c:pt>
                <c:pt idx="3">
                  <c:v>22350791</c:v>
                </c:pt>
                <c:pt idx="4">
                  <c:v>8324461</c:v>
                </c:pt>
                <c:pt idx="5">
                  <c:v>11753864</c:v>
                </c:pt>
                <c:pt idx="6">
                  <c:v>10524764</c:v>
                </c:pt>
                <c:pt idx="7">
                  <c:v>13001431</c:v>
                </c:pt>
                <c:pt idx="8">
                  <c:v>9208903</c:v>
                </c:pt>
                <c:pt idx="9">
                  <c:v>20388832</c:v>
                </c:pt>
                <c:pt idx="10">
                  <c:v>12969202</c:v>
                </c:pt>
                <c:pt idx="11">
                  <c:v>22421249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FB-40E7-8EDF-C5203FAA9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8908624"/>
        <c:axId val="558906224"/>
      </c:barChart>
      <c:catAx>
        <c:axId val="55890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8906224"/>
        <c:crosses val="autoZero"/>
        <c:auto val="1"/>
        <c:lblAlgn val="ctr"/>
        <c:lblOffset val="100"/>
        <c:noMultiLvlLbl val="0"/>
      </c:catAx>
      <c:valAx>
        <c:axId val="55890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5890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681037</xdr:colOff>
      <xdr:row>1</xdr:row>
      <xdr:rowOff>228600</xdr:rowOff>
    </xdr:from>
    <xdr:to>
      <xdr:col>13</xdr:col>
      <xdr:colOff>1</xdr:colOff>
      <xdr:row>16</xdr:row>
      <xdr:rowOff>95250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9DBBE5B-C82E-1175-5F32-B6D87E89F7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10"/>
  <sheetViews>
    <sheetView tabSelected="1" workbookViewId="0"/>
  </sheetViews>
  <sheetFormatPr defaultRowHeight="18.75" x14ac:dyDescent="0.4"/>
  <cols>
    <col min="1" max="1" width="2" customWidth="1"/>
    <col min="2" max="2" width="14" customWidth="1"/>
    <col min="3" max="8" width="10" customWidth="1"/>
    <col min="9" max="9" width="14" customWidth="1"/>
    <col min="10" max="10" width="10" customWidth="1"/>
    <col min="11" max="11" width="14" customWidth="1"/>
    <col min="12" max="12" width="19.25" customWidth="1"/>
  </cols>
  <sheetData>
    <row r="2" spans="2:12" ht="30" customHeight="1" x14ac:dyDescent="0.4">
      <c r="B2" s="34" t="s">
        <v>0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4" spans="2:12" ht="26.1" customHeight="1" x14ac:dyDescent="0.4">
      <c r="B4" s="27" t="s">
        <v>1</v>
      </c>
      <c r="C4" s="27" t="s">
        <v>2</v>
      </c>
      <c r="D4" s="27" t="s">
        <v>3</v>
      </c>
      <c r="E4" s="27" t="s">
        <v>4</v>
      </c>
      <c r="F4" s="27" t="s">
        <v>5</v>
      </c>
      <c r="G4" s="27" t="s">
        <v>6</v>
      </c>
      <c r="H4" s="27" t="s">
        <v>7</v>
      </c>
      <c r="I4" s="27" t="s">
        <v>8</v>
      </c>
      <c r="J4" s="28" t="s">
        <v>9</v>
      </c>
      <c r="K4" s="35" t="s">
        <v>55</v>
      </c>
      <c r="L4" s="35" t="s">
        <v>57</v>
      </c>
    </row>
    <row r="5" spans="2:12" ht="21.95" customHeight="1" x14ac:dyDescent="0.4">
      <c r="B5" s="24" t="s">
        <v>10</v>
      </c>
      <c r="C5" s="25" t="s">
        <v>11</v>
      </c>
      <c r="D5" s="26" t="s">
        <v>12</v>
      </c>
      <c r="E5" s="6">
        <v>7985</v>
      </c>
      <c r="F5" s="6">
        <v>5350</v>
      </c>
      <c r="G5" s="6">
        <v>2289</v>
      </c>
      <c r="H5" s="6">
        <v>1465</v>
      </c>
      <c r="I5" s="6">
        <v>5160</v>
      </c>
      <c r="J5" s="5">
        <v>1656</v>
      </c>
      <c r="K5" s="5">
        <f>SUM(E5:J5)</f>
        <v>23905</v>
      </c>
      <c r="L5" s="5"/>
    </row>
    <row r="6" spans="2:12" ht="21.95" customHeight="1" x14ac:dyDescent="0.4">
      <c r="B6" s="24" t="s">
        <v>13</v>
      </c>
      <c r="C6" s="25" t="s">
        <v>14</v>
      </c>
      <c r="D6" s="26" t="s">
        <v>15</v>
      </c>
      <c r="E6" s="6">
        <v>5874</v>
      </c>
      <c r="F6" s="6">
        <v>1556</v>
      </c>
      <c r="G6" s="6">
        <v>6531</v>
      </c>
      <c r="H6" s="6">
        <v>2926</v>
      </c>
      <c r="I6" s="6">
        <v>4307</v>
      </c>
      <c r="J6" s="5">
        <v>1982</v>
      </c>
      <c r="K6" s="5">
        <f t="shared" ref="K6:K10" si="0">SUM(E6:J6)</f>
        <v>23176</v>
      </c>
      <c r="L6" s="5"/>
    </row>
    <row r="7" spans="2:12" ht="21.95" customHeight="1" x14ac:dyDescent="0.4">
      <c r="B7" s="24" t="s">
        <v>16</v>
      </c>
      <c r="C7" s="25" t="s">
        <v>14</v>
      </c>
      <c r="D7" s="26" t="s">
        <v>17</v>
      </c>
      <c r="E7" s="6">
        <v>5870</v>
      </c>
      <c r="F7" s="6">
        <v>1325</v>
      </c>
      <c r="G7" s="6">
        <v>6073</v>
      </c>
      <c r="H7" s="6">
        <v>1671</v>
      </c>
      <c r="I7" s="6">
        <v>4434</v>
      </c>
      <c r="J7" s="5">
        <v>6385</v>
      </c>
      <c r="K7" s="5">
        <f t="shared" si="0"/>
        <v>25758</v>
      </c>
      <c r="L7" s="5"/>
    </row>
    <row r="8" spans="2:12" ht="21.95" customHeight="1" x14ac:dyDescent="0.4">
      <c r="B8" s="24" t="s">
        <v>18</v>
      </c>
      <c r="C8" s="25" t="s">
        <v>11</v>
      </c>
      <c r="D8" s="26" t="s">
        <v>19</v>
      </c>
      <c r="E8" s="6">
        <v>2673</v>
      </c>
      <c r="F8" s="6">
        <v>6486</v>
      </c>
      <c r="G8" s="6">
        <v>6867</v>
      </c>
      <c r="H8" s="6">
        <v>3573</v>
      </c>
      <c r="I8" s="6">
        <v>2955</v>
      </c>
      <c r="J8" s="5">
        <v>3175</v>
      </c>
      <c r="K8" s="5">
        <f t="shared" si="0"/>
        <v>25729</v>
      </c>
      <c r="L8" s="5"/>
    </row>
    <row r="9" spans="2:12" ht="21.95" customHeight="1" x14ac:dyDescent="0.4">
      <c r="B9" s="24" t="s">
        <v>20</v>
      </c>
      <c r="C9" s="25" t="s">
        <v>11</v>
      </c>
      <c r="D9" s="26" t="s">
        <v>21</v>
      </c>
      <c r="E9" s="6">
        <v>6502</v>
      </c>
      <c r="F9" s="6">
        <v>6287</v>
      </c>
      <c r="G9" s="6">
        <v>3457</v>
      </c>
      <c r="H9" s="6">
        <v>4745</v>
      </c>
      <c r="I9" s="6">
        <v>3590</v>
      </c>
      <c r="J9" s="5">
        <v>7159</v>
      </c>
      <c r="K9" s="5">
        <f t="shared" si="0"/>
        <v>31740</v>
      </c>
      <c r="L9" s="5"/>
    </row>
    <row r="10" spans="2:12" ht="21.95" customHeight="1" x14ac:dyDescent="0.4">
      <c r="B10" s="36" t="s">
        <v>22</v>
      </c>
      <c r="C10" s="37" t="s">
        <v>14</v>
      </c>
      <c r="D10" s="38" t="s">
        <v>23</v>
      </c>
      <c r="E10" s="4">
        <v>4754</v>
      </c>
      <c r="F10" s="4">
        <v>6088</v>
      </c>
      <c r="G10" s="4">
        <v>5612</v>
      </c>
      <c r="H10" s="4">
        <v>1819</v>
      </c>
      <c r="I10" s="4">
        <v>1600</v>
      </c>
      <c r="J10" s="3">
        <v>5404</v>
      </c>
      <c r="K10" s="3">
        <f t="shared" si="0"/>
        <v>25277</v>
      </c>
      <c r="L10" s="3"/>
    </row>
  </sheetData>
  <mergeCells count="1">
    <mergeCell ref="B2:L2"/>
  </mergeCells>
  <phoneticPr fontId="2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10"/>
  <sheetViews>
    <sheetView workbookViewId="0"/>
  </sheetViews>
  <sheetFormatPr defaultRowHeight="18.75" x14ac:dyDescent="0.4"/>
  <cols>
    <col min="1" max="1" width="2" customWidth="1"/>
    <col min="2" max="2" width="18" customWidth="1"/>
    <col min="3" max="7" width="14" customWidth="1"/>
  </cols>
  <sheetData>
    <row r="2" spans="2:7" ht="30" customHeight="1" x14ac:dyDescent="0.4">
      <c r="B2" s="32" t="s">
        <v>24</v>
      </c>
      <c r="C2" s="33"/>
      <c r="D2" s="33"/>
      <c r="E2" s="33"/>
      <c r="F2" s="33"/>
      <c r="G2" s="33"/>
    </row>
    <row r="3" spans="2:7" ht="26.1" customHeight="1" x14ac:dyDescent="0.4">
      <c r="B3" s="7" t="s">
        <v>63</v>
      </c>
      <c r="C3" s="7" t="s">
        <v>59</v>
      </c>
      <c r="D3" s="7" t="s">
        <v>60</v>
      </c>
      <c r="E3" s="7" t="s">
        <v>61</v>
      </c>
      <c r="F3" s="7" t="s">
        <v>58</v>
      </c>
      <c r="G3" s="7" t="s">
        <v>62</v>
      </c>
    </row>
    <row r="4" spans="2:7" ht="24" customHeight="1" x14ac:dyDescent="0.4">
      <c r="B4" s="8" t="s">
        <v>25</v>
      </c>
      <c r="C4" s="9">
        <v>34304543</v>
      </c>
      <c r="D4" s="9">
        <v>53949347</v>
      </c>
      <c r="E4" s="9">
        <v>37797298</v>
      </c>
      <c r="F4" s="9">
        <v>28889009</v>
      </c>
      <c r="G4" s="10">
        <v>43421586</v>
      </c>
    </row>
    <row r="5" spans="2:7" ht="24" customHeight="1" x14ac:dyDescent="0.4">
      <c r="B5" s="8" t="s">
        <v>26</v>
      </c>
      <c r="C5" s="9">
        <v>24616506</v>
      </c>
      <c r="D5" s="9">
        <v>36393649</v>
      </c>
      <c r="E5" s="9">
        <v>44798543</v>
      </c>
      <c r="F5" s="9">
        <v>39125180</v>
      </c>
      <c r="G5" s="10">
        <v>30586210</v>
      </c>
    </row>
    <row r="6" spans="2:7" ht="24" customHeight="1" x14ac:dyDescent="0.4">
      <c r="B6" s="8" t="s">
        <v>27</v>
      </c>
      <c r="C6" s="9">
        <v>49406068</v>
      </c>
      <c r="D6" s="9">
        <v>56454740</v>
      </c>
      <c r="E6" s="9">
        <v>40301581</v>
      </c>
      <c r="F6" s="9">
        <v>55496609</v>
      </c>
      <c r="G6" s="10">
        <v>20524999</v>
      </c>
    </row>
    <row r="7" spans="2:7" ht="24" customHeight="1" x14ac:dyDescent="0.4">
      <c r="B7" s="8" t="s">
        <v>28</v>
      </c>
      <c r="C7" s="9">
        <v>57218729</v>
      </c>
      <c r="D7" s="9">
        <v>40090967</v>
      </c>
      <c r="E7" s="9">
        <v>26951572</v>
      </c>
      <c r="F7" s="9">
        <v>29012124</v>
      </c>
      <c r="G7" s="10">
        <v>37748007</v>
      </c>
    </row>
    <row r="8" spans="2:7" ht="24" customHeight="1" x14ac:dyDescent="0.4">
      <c r="B8" s="8" t="s">
        <v>29</v>
      </c>
      <c r="C8" s="9">
        <v>27746286</v>
      </c>
      <c r="D8" s="9">
        <v>27183062</v>
      </c>
      <c r="E8" s="9">
        <v>57126210</v>
      </c>
      <c r="F8" s="9">
        <v>30431932</v>
      </c>
      <c r="G8" s="10">
        <v>38276979</v>
      </c>
    </row>
    <row r="9" spans="2:7" ht="24" customHeight="1" x14ac:dyDescent="0.4">
      <c r="B9" s="8" t="s">
        <v>30</v>
      </c>
      <c r="C9" s="9">
        <v>38908343</v>
      </c>
      <c r="D9" s="9">
        <v>34135116</v>
      </c>
      <c r="E9" s="9">
        <v>43010306</v>
      </c>
      <c r="F9" s="9">
        <v>33663184</v>
      </c>
      <c r="G9" s="10">
        <v>37715659</v>
      </c>
    </row>
    <row r="10" spans="2:7" ht="29.25" customHeight="1" x14ac:dyDescent="0.4">
      <c r="B10" s="11" t="s">
        <v>56</v>
      </c>
      <c r="C10" s="20">
        <f t="shared" ref="C10:F10" si="0">SUM(C4:C9)</f>
        <v>232200475</v>
      </c>
      <c r="D10" s="20">
        <f t="shared" si="0"/>
        <v>248206881</v>
      </c>
      <c r="E10" s="20">
        <f t="shared" si="0"/>
        <v>249985510</v>
      </c>
      <c r="F10" s="20">
        <f t="shared" si="0"/>
        <v>216618038</v>
      </c>
      <c r="G10" s="12">
        <f>SUBTOTAL(109,工場5年実績!$G$4:$G$9)</f>
        <v>208273440</v>
      </c>
    </row>
  </sheetData>
  <mergeCells count="1">
    <mergeCell ref="B2:G2"/>
  </mergeCells>
  <phoneticPr fontId="2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selection sqref="A1:F1"/>
    </sheetView>
  </sheetViews>
  <sheetFormatPr defaultRowHeight="18.75" x14ac:dyDescent="0.4"/>
  <cols>
    <col min="1" max="1" width="18" customWidth="1"/>
    <col min="2" max="6" width="14.375" customWidth="1"/>
  </cols>
  <sheetData>
    <row r="1" spans="1:6" ht="30" customHeight="1" x14ac:dyDescent="0.4">
      <c r="A1" s="18" t="s">
        <v>31</v>
      </c>
      <c r="B1" s="19"/>
      <c r="C1" s="19"/>
      <c r="D1" s="19"/>
      <c r="E1" s="19"/>
      <c r="F1" s="19"/>
    </row>
    <row r="3" spans="1:6" ht="26.1" customHeight="1" x14ac:dyDescent="0.4">
      <c r="A3" s="13" t="s">
        <v>32</v>
      </c>
      <c r="B3" s="13" t="s">
        <v>33</v>
      </c>
      <c r="C3" s="13" t="s">
        <v>34</v>
      </c>
      <c r="D3" s="13" t="s">
        <v>35</v>
      </c>
      <c r="E3" s="13" t="s">
        <v>36</v>
      </c>
      <c r="F3" s="14" t="s">
        <v>37</v>
      </c>
    </row>
    <row r="4" spans="1:6" ht="21.95" customHeight="1" x14ac:dyDescent="0.4">
      <c r="A4" s="15" t="s">
        <v>38</v>
      </c>
      <c r="B4" s="16">
        <v>3619839</v>
      </c>
      <c r="C4" s="16">
        <v>3549051</v>
      </c>
      <c r="D4" s="16">
        <v>7168890</v>
      </c>
      <c r="E4" s="16">
        <v>1194815</v>
      </c>
      <c r="F4" s="17">
        <v>7168890</v>
      </c>
    </row>
    <row r="5" spans="1:6" ht="21.95" customHeight="1" x14ac:dyDescent="0.4">
      <c r="A5" s="15" t="s">
        <v>39</v>
      </c>
      <c r="B5" s="16">
        <v>2553278</v>
      </c>
      <c r="C5" s="16">
        <v>1713066</v>
      </c>
      <c r="D5" s="16">
        <v>4266344</v>
      </c>
      <c r="E5" s="16">
        <v>711057</v>
      </c>
      <c r="F5" s="17">
        <v>4266344</v>
      </c>
    </row>
    <row r="6" spans="1:6" ht="21.95" customHeight="1" x14ac:dyDescent="0.4">
      <c r="A6" s="15" t="s">
        <v>40</v>
      </c>
      <c r="B6" s="16">
        <v>1887127</v>
      </c>
      <c r="C6" s="16">
        <v>4160381</v>
      </c>
      <c r="D6" s="16">
        <v>6047508</v>
      </c>
      <c r="E6" s="16">
        <v>1007918</v>
      </c>
      <c r="F6" s="17">
        <v>6047508</v>
      </c>
    </row>
    <row r="7" spans="1:6" ht="21.95" customHeight="1" x14ac:dyDescent="0.4">
      <c r="A7" s="15" t="s">
        <v>41</v>
      </c>
      <c r="B7" s="16">
        <v>3276605</v>
      </c>
      <c r="C7" s="16">
        <v>4978538</v>
      </c>
      <c r="D7" s="16">
        <v>8255143</v>
      </c>
      <c r="E7" s="16">
        <v>1375857</v>
      </c>
      <c r="F7" s="17">
        <v>8255143</v>
      </c>
    </row>
    <row r="8" spans="1:6" ht="21.95" customHeight="1" x14ac:dyDescent="0.4">
      <c r="A8" s="15" t="s">
        <v>42</v>
      </c>
      <c r="B8" s="16">
        <v>2660480</v>
      </c>
      <c r="C8" s="16">
        <v>1684913</v>
      </c>
      <c r="D8" s="16">
        <v>4345393</v>
      </c>
      <c r="E8" s="16">
        <v>724232</v>
      </c>
      <c r="F8" s="17">
        <v>4345393</v>
      </c>
    </row>
    <row r="9" spans="1:6" ht="21.95" customHeight="1" x14ac:dyDescent="0.4">
      <c r="A9" s="15" t="s">
        <v>43</v>
      </c>
      <c r="B9" s="16">
        <v>1514871</v>
      </c>
      <c r="C9" s="16">
        <v>2899037</v>
      </c>
      <c r="D9" s="16">
        <v>4413908</v>
      </c>
      <c r="E9" s="16">
        <v>735651</v>
      </c>
      <c r="F9" s="17">
        <v>4413908</v>
      </c>
    </row>
    <row r="10" spans="1:6" ht="21.95" customHeight="1" x14ac:dyDescent="0.4">
      <c r="A10" s="15" t="s">
        <v>44</v>
      </c>
      <c r="B10" s="16">
        <v>4734308</v>
      </c>
      <c r="C10" s="16">
        <v>2048697</v>
      </c>
      <c r="D10" s="16">
        <v>6783005</v>
      </c>
      <c r="E10" s="16">
        <v>1130500</v>
      </c>
      <c r="F10" s="17">
        <v>6783005</v>
      </c>
    </row>
    <row r="11" spans="1:6" ht="30.75" customHeight="1" x14ac:dyDescent="0.4">
      <c r="A11" s="21" t="s">
        <v>54</v>
      </c>
      <c r="B11" s="22">
        <f t="shared" ref="B11:E11" si="0">SUM(B4:B10)</f>
        <v>20246508</v>
      </c>
      <c r="C11" s="22">
        <f t="shared" si="0"/>
        <v>21033683</v>
      </c>
      <c r="D11" s="22">
        <f t="shared" si="0"/>
        <v>41280191</v>
      </c>
      <c r="E11" s="22">
        <f t="shared" si="0"/>
        <v>6880030</v>
      </c>
      <c r="F11" s="23">
        <f>SUBTOTAL(109,資材下半期!$F$4:$F$10)</f>
        <v>41280191</v>
      </c>
    </row>
  </sheetData>
  <mergeCells count="1">
    <mergeCell ref="A1:F1"/>
  </mergeCells>
  <phoneticPr fontId="2"/>
  <pageMargins left="0.75" right="0.75" top="1" bottom="1" header="0.5" footer="0.5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15"/>
  <sheetViews>
    <sheetView workbookViewId="0"/>
  </sheetViews>
  <sheetFormatPr defaultRowHeight="18.75" x14ac:dyDescent="0.4"/>
  <cols>
    <col min="1" max="1" width="2" customWidth="1"/>
    <col min="2" max="3" width="18" customWidth="1"/>
  </cols>
  <sheetData>
    <row r="1" spans="2:3" ht="30" customHeight="1" x14ac:dyDescent="0.4"/>
    <row r="2" spans="2:3" x14ac:dyDescent="0.4">
      <c r="B2" s="29" t="s">
        <v>45</v>
      </c>
      <c r="C2" s="30"/>
    </row>
    <row r="3" spans="2:3" ht="24" customHeight="1" x14ac:dyDescent="0.4">
      <c r="B3" s="31" t="s">
        <v>46</v>
      </c>
      <c r="C3" s="31" t="s">
        <v>47</v>
      </c>
    </row>
    <row r="4" spans="2:3" x14ac:dyDescent="0.4">
      <c r="B4" s="1" t="s">
        <v>4</v>
      </c>
      <c r="C4" s="2">
        <v>16789760</v>
      </c>
    </row>
    <row r="5" spans="2:3" x14ac:dyDescent="0.4">
      <c r="B5" s="1" t="s">
        <v>5</v>
      </c>
      <c r="C5" s="2">
        <v>13421791</v>
      </c>
    </row>
    <row r="6" spans="2:3" x14ac:dyDescent="0.4">
      <c r="B6" s="1" t="s">
        <v>6</v>
      </c>
      <c r="C6" s="2">
        <v>22825539</v>
      </c>
    </row>
    <row r="7" spans="2:3" x14ac:dyDescent="0.4">
      <c r="B7" s="1" t="s">
        <v>7</v>
      </c>
      <c r="C7" s="2">
        <v>22350791</v>
      </c>
    </row>
    <row r="8" spans="2:3" x14ac:dyDescent="0.4">
      <c r="B8" s="1" t="s">
        <v>8</v>
      </c>
      <c r="C8" s="2">
        <v>8324461</v>
      </c>
    </row>
    <row r="9" spans="2:3" x14ac:dyDescent="0.4">
      <c r="B9" s="1" t="s">
        <v>9</v>
      </c>
      <c r="C9" s="2">
        <v>11753864</v>
      </c>
    </row>
    <row r="10" spans="2:3" x14ac:dyDescent="0.4">
      <c r="B10" s="1" t="s">
        <v>48</v>
      </c>
      <c r="C10" s="2">
        <v>10524764</v>
      </c>
    </row>
    <row r="11" spans="2:3" x14ac:dyDescent="0.4">
      <c r="B11" s="1" t="s">
        <v>49</v>
      </c>
      <c r="C11" s="2">
        <v>13001431</v>
      </c>
    </row>
    <row r="12" spans="2:3" x14ac:dyDescent="0.4">
      <c r="B12" s="1" t="s">
        <v>50</v>
      </c>
      <c r="C12" s="2">
        <v>9208903</v>
      </c>
    </row>
    <row r="13" spans="2:3" x14ac:dyDescent="0.4">
      <c r="B13" s="1" t="s">
        <v>51</v>
      </c>
      <c r="C13" s="2">
        <v>20388832</v>
      </c>
    </row>
    <row r="14" spans="2:3" x14ac:dyDescent="0.4">
      <c r="B14" s="1" t="s">
        <v>52</v>
      </c>
      <c r="C14" s="2">
        <v>12969202</v>
      </c>
    </row>
    <row r="15" spans="2:3" x14ac:dyDescent="0.4">
      <c r="B15" s="1" t="s">
        <v>53</v>
      </c>
      <c r="C15" s="2">
        <v>22421249</v>
      </c>
    </row>
  </sheetData>
  <mergeCells count="1">
    <mergeCell ref="B2:C2"/>
  </mergeCells>
  <phoneticPr fontId="2"/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部品出荷表</vt:lpstr>
      <vt:lpstr>工場5年実績</vt:lpstr>
      <vt:lpstr>資材下半期</vt:lpstr>
      <vt:lpstr>第一工場売上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rabbit test</cp:lastModifiedBy>
  <dcterms:created xsi:type="dcterms:W3CDTF">2026-06-25T03:41:29Z</dcterms:created>
  <dcterms:modified xsi:type="dcterms:W3CDTF">2026-07-05T06:51:24Z</dcterms:modified>
</cp:coreProperties>
</file>