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EA4A1950-17A1-449A-9465-A5ED64F514AA}" xr6:coauthVersionLast="47" xr6:coauthVersionMax="47" xr10:uidLastSave="{00000000-0000-0000-0000-000000000000}"/>
  <bookViews>
    <workbookView xWindow="-28920" yWindow="555" windowWidth="29040" windowHeight="15720" xr2:uid="{00000000-000D-0000-FFFF-FFFF00000000}"/>
  </bookViews>
  <sheets>
    <sheet name="講座受講月次" sheetId="2" r:id="rId1"/>
    <sheet name="講座5年比較" sheetId="3" r:id="rId2"/>
    <sheet name="教材販売" sheetId="4" r:id="rId3"/>
    <sheet name="池袋校売上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C11" i="4"/>
  <c r="D11" i="4"/>
  <c r="E11" i="4"/>
  <c r="F11" i="4"/>
  <c r="G11" i="4"/>
  <c r="H11" i="4"/>
  <c r="I11" i="4"/>
  <c r="G10" i="3"/>
  <c r="I5" i="4"/>
  <c r="I6" i="4"/>
  <c r="I7" i="4"/>
  <c r="I8" i="4"/>
  <c r="I9" i="4"/>
  <c r="I10" i="4"/>
  <c r="I4" i="4"/>
  <c r="H4" i="4"/>
  <c r="H5" i="4"/>
  <c r="H6" i="4"/>
  <c r="H7" i="4"/>
  <c r="H8" i="4"/>
  <c r="H9" i="4"/>
  <c r="H10" i="4"/>
</calcChain>
</file>

<file path=xl/sharedStrings.xml><?xml version="1.0" encoding="utf-8"?>
<sst xmlns="http://schemas.openxmlformats.org/spreadsheetml/2006/main" count="63" uniqueCount="51">
  <si>
    <t>No.</t>
  </si>
  <si>
    <t>講座受講 月次推移</t>
  </si>
  <si>
    <t>講座名</t>
  </si>
  <si>
    <t>1月</t>
  </si>
  <si>
    <t>2月</t>
  </si>
  <si>
    <t>3月</t>
  </si>
  <si>
    <t>4月</t>
  </si>
  <si>
    <t>5月</t>
  </si>
  <si>
    <t>6月</t>
  </si>
  <si>
    <t>受講推移</t>
  </si>
  <si>
    <t>中学英語基礎</t>
  </si>
  <si>
    <t>高校数学IA</t>
  </si>
  <si>
    <t>高校物理応用</t>
  </si>
  <si>
    <t>中学国語読解</t>
  </si>
  <si>
    <t>高校化学演習</t>
  </si>
  <si>
    <t>中学社会総合</t>
  </si>
  <si>
    <t>2021年度</t>
  </si>
  <si>
    <t>2022年度</t>
  </si>
  <si>
    <t>2023年度</t>
  </si>
  <si>
    <t>2024年度</t>
  </si>
  <si>
    <t>2025年度</t>
  </si>
  <si>
    <t>中学英語</t>
  </si>
  <si>
    <t>高校数学</t>
  </si>
  <si>
    <t>高校物理</t>
  </si>
  <si>
    <t>中学国語</t>
  </si>
  <si>
    <t>高校化学</t>
  </si>
  <si>
    <t>中学社会</t>
  </si>
  <si>
    <t>教材販売 月次売上集計</t>
  </si>
  <si>
    <t>教材名</t>
  </si>
  <si>
    <t>平均</t>
  </si>
  <si>
    <t>売上合計</t>
  </si>
  <si>
    <t>英文法テキスト</t>
  </si>
  <si>
    <t>数学問題集</t>
  </si>
  <si>
    <t>物理参考書</t>
  </si>
  <si>
    <t>古文単語帳</t>
  </si>
  <si>
    <t>化学ワーク</t>
  </si>
  <si>
    <t>社会まとめ</t>
  </si>
  <si>
    <t>模試解説集</t>
  </si>
  <si>
    <t>池袋校 月次売上</t>
  </si>
  <si>
    <t>月</t>
  </si>
  <si>
    <t>売上</t>
  </si>
  <si>
    <t>7月</t>
  </si>
  <si>
    <t>8月</t>
  </si>
  <si>
    <t>9月</t>
  </si>
  <si>
    <t>10月</t>
  </si>
  <si>
    <t>11月</t>
  </si>
  <si>
    <t>12月</t>
  </si>
  <si>
    <t>10月</t>
    <rPh sb="2" eb="3">
      <t>ガツ</t>
    </rPh>
    <phoneticPr fontId="2"/>
  </si>
  <si>
    <t>集　計</t>
    <phoneticPr fontId="2"/>
  </si>
  <si>
    <t>合　　計</t>
    <rPh sb="0" eb="1">
      <t>ア</t>
    </rPh>
    <rPh sb="3" eb="4">
      <t>ケイ</t>
    </rPh>
    <phoneticPr fontId="2"/>
  </si>
  <si>
    <t>過去5年間の売上比較</t>
    <rPh sb="0" eb="2">
      <t>カコ</t>
    </rPh>
    <rPh sb="4" eb="5">
      <t>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</si>
</sst>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8"/>
      <color theme="1"/>
      <name val="BIZ UDP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1"/>
      <color theme="0"/>
      <name val="BIZ UDPゴシック"/>
      <family val="3"/>
      <charset val="128"/>
    </font>
    <font>
      <b/>
      <sz val="11"/>
      <name val="ＭＳ Ｐゴシック"/>
      <family val="2"/>
      <scheme val="minor"/>
    </font>
    <font>
      <b/>
      <sz val="11"/>
      <name val="ＭＳ Ｐゴシック"/>
      <family val="3"/>
      <charset val="128"/>
      <scheme val="minor"/>
    </font>
    <font>
      <b/>
      <sz val="14"/>
      <color theme="0"/>
      <name val="ＭＳ Ｐゴシック"/>
      <family val="3"/>
      <charset val="128"/>
      <scheme val="minor"/>
    </font>
    <font>
      <b/>
      <sz val="14"/>
      <color theme="6"/>
      <name val="BIZ UDP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double">
        <color theme="6"/>
      </bottom>
      <diagonal/>
    </border>
    <border>
      <left/>
      <right/>
      <top style="thin">
        <color theme="6"/>
      </top>
      <bottom style="double">
        <color theme="6"/>
      </bottom>
      <diagonal/>
    </border>
    <border>
      <left/>
      <right style="thin">
        <color theme="6"/>
      </right>
      <top style="thin">
        <color theme="6"/>
      </top>
      <bottom style="double">
        <color theme="6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8" fontId="0" fillId="0" borderId="1" xfId="1" applyFont="1" applyFill="1" applyBorder="1" applyAlignment="1">
      <alignment vertical="center"/>
    </xf>
    <xf numFmtId="38" fontId="11" fillId="6" borderId="1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38" fontId="0" fillId="3" borderId="8" xfId="1" applyFont="1" applyFill="1" applyBorder="1" applyAlignment="1">
      <alignment vertical="center"/>
    </xf>
    <xf numFmtId="0" fontId="0" fillId="0" borderId="9" xfId="0" applyBorder="1" applyAlignment="1">
      <alignment vertical="center"/>
    </xf>
    <xf numFmtId="38" fontId="0" fillId="0" borderId="10" xfId="1" applyFont="1" applyBorder="1" applyAlignment="1">
      <alignment vertical="center"/>
    </xf>
    <xf numFmtId="0" fontId="0" fillId="3" borderId="9" xfId="0" applyFill="1" applyBorder="1" applyAlignment="1">
      <alignment vertical="center"/>
    </xf>
    <xf numFmtId="38" fontId="0" fillId="3" borderId="10" xfId="1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38" fontId="0" fillId="0" borderId="6" xfId="1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38" fontId="0" fillId="0" borderId="5" xfId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38" fontId="0" fillId="0" borderId="3" xfId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8" fontId="0" fillId="0" borderId="13" xfId="1" applyFont="1" applyBorder="1" applyAlignment="1">
      <alignment vertical="center"/>
    </xf>
    <xf numFmtId="38" fontId="0" fillId="0" borderId="14" xfId="1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38" fontId="8" fillId="0" borderId="17" xfId="0" applyNumberFormat="1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38" fontId="0" fillId="0" borderId="19" xfId="1" applyFont="1" applyBorder="1" applyAlignment="1">
      <alignment vertical="center"/>
    </xf>
    <xf numFmtId="38" fontId="0" fillId="0" borderId="20" xfId="1" applyFont="1" applyBorder="1" applyAlignment="1">
      <alignment vertical="center"/>
    </xf>
    <xf numFmtId="0" fontId="13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池袋校 月次売上（面）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7718253968253968E-2"/>
          <c:y val="0.1254320987654321"/>
          <c:w val="0.86997136721546175"/>
          <c:h val="0.83145061728395064"/>
        </c:manualLayout>
      </c:layout>
      <c:areaChart>
        <c:grouping val="standard"/>
        <c:varyColors val="1"/>
        <c:ser>
          <c:idx val="0"/>
          <c:order val="0"/>
          <c:tx>
            <c:strRef>
              <c:f>池袋校売上!$C$4</c:f>
              <c:strCache>
                <c:ptCount val="1"/>
                <c:pt idx="0">
                  <c:v>売上</c:v>
                </c:pt>
              </c:strCache>
            </c:strRef>
          </c:tx>
          <c:spPr>
            <a:ln>
              <a:prstDash val="solid"/>
            </a:ln>
          </c:spPr>
          <c:cat>
            <c:strRef>
              <c:f>池袋校売上!$B$5:$B$16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池袋校売上!$C$5:$C$16</c:f>
              <c:numCache>
                <c:formatCode>#,##0_);[Red]\(#,##0\)</c:formatCode>
                <c:ptCount val="12"/>
                <c:pt idx="0">
                  <c:v>7244306</c:v>
                </c:pt>
                <c:pt idx="1">
                  <c:v>8431986</c:v>
                </c:pt>
                <c:pt idx="2">
                  <c:v>5862454</c:v>
                </c:pt>
                <c:pt idx="3">
                  <c:v>3106133</c:v>
                </c:pt>
                <c:pt idx="4">
                  <c:v>6523708</c:v>
                </c:pt>
                <c:pt idx="5">
                  <c:v>7112109</c:v>
                </c:pt>
                <c:pt idx="6">
                  <c:v>3885324</c:v>
                </c:pt>
                <c:pt idx="7">
                  <c:v>6636657</c:v>
                </c:pt>
                <c:pt idx="8">
                  <c:v>6038253</c:v>
                </c:pt>
                <c:pt idx="9">
                  <c:v>8331674</c:v>
                </c:pt>
                <c:pt idx="10">
                  <c:v>6856573</c:v>
                </c:pt>
                <c:pt idx="11">
                  <c:v>8933334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F-47A1-BEA3-C32F819DB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2</xdr:row>
      <xdr:rowOff>238125</xdr:rowOff>
    </xdr:from>
    <xdr:ext cx="54483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"/>
  <sheetViews>
    <sheetView tabSelected="1" workbookViewId="0"/>
  </sheetViews>
  <sheetFormatPr defaultRowHeight="19.5" customHeight="1" x14ac:dyDescent="0.15"/>
  <cols>
    <col min="1" max="1" width="8" style="1" customWidth="1"/>
    <col min="2" max="2" width="16" style="1" customWidth="1"/>
    <col min="3" max="8" width="10" style="1" customWidth="1"/>
    <col min="9" max="9" width="21.5" style="1" customWidth="1"/>
    <col min="10" max="16384" width="9" style="1"/>
  </cols>
  <sheetData>
    <row r="2" spans="1:9" ht="27.75" customHeight="1" x14ac:dyDescent="0.15">
      <c r="A2" s="27" t="s">
        <v>1</v>
      </c>
      <c r="B2" s="27"/>
      <c r="C2" s="27"/>
      <c r="D2" s="27"/>
      <c r="E2" s="27"/>
      <c r="F2" s="27"/>
      <c r="G2" s="27"/>
      <c r="H2" s="27"/>
      <c r="I2" s="27"/>
    </row>
    <row r="3" spans="1:9" s="3" customFormat="1" ht="24.75" customHeight="1" x14ac:dyDescent="0.15">
      <c r="A3" s="20" t="s">
        <v>0</v>
      </c>
      <c r="B3" s="20" t="s">
        <v>2</v>
      </c>
      <c r="C3" s="20" t="s">
        <v>47</v>
      </c>
      <c r="D3" s="20" t="s">
        <v>45</v>
      </c>
      <c r="E3" s="20" t="s">
        <v>46</v>
      </c>
      <c r="F3" s="20" t="s">
        <v>3</v>
      </c>
      <c r="G3" s="20" t="s">
        <v>4</v>
      </c>
      <c r="H3" s="20" t="s">
        <v>5</v>
      </c>
      <c r="I3" s="21" t="s">
        <v>9</v>
      </c>
    </row>
    <row r="4" spans="1:9" ht="24.75" customHeight="1" x14ac:dyDescent="0.15">
      <c r="A4" s="22">
        <v>1</v>
      </c>
      <c r="B4" s="22" t="s">
        <v>10</v>
      </c>
      <c r="C4" s="23">
        <v>234491</v>
      </c>
      <c r="D4" s="23">
        <v>295095</v>
      </c>
      <c r="E4" s="23">
        <v>308157</v>
      </c>
      <c r="F4" s="23">
        <v>392495</v>
      </c>
      <c r="G4" s="23">
        <v>551641</v>
      </c>
      <c r="H4" s="23">
        <v>310227</v>
      </c>
      <c r="I4" s="24"/>
    </row>
    <row r="5" spans="1:9" ht="24.75" customHeight="1" x14ac:dyDescent="0.15">
      <c r="A5" s="22">
        <v>2</v>
      </c>
      <c r="B5" s="22" t="s">
        <v>11</v>
      </c>
      <c r="C5" s="23">
        <v>374345</v>
      </c>
      <c r="D5" s="23">
        <v>217348</v>
      </c>
      <c r="E5" s="23">
        <v>585020</v>
      </c>
      <c r="F5" s="23">
        <v>577398</v>
      </c>
      <c r="G5" s="23">
        <v>496954</v>
      </c>
      <c r="H5" s="23">
        <v>718969</v>
      </c>
      <c r="I5" s="24"/>
    </row>
    <row r="6" spans="1:9" ht="24.75" customHeight="1" x14ac:dyDescent="0.15">
      <c r="A6" s="22">
        <v>3</v>
      </c>
      <c r="B6" s="22" t="s">
        <v>12</v>
      </c>
      <c r="C6" s="23">
        <v>638557</v>
      </c>
      <c r="D6" s="23">
        <v>585970</v>
      </c>
      <c r="E6" s="23">
        <v>215290</v>
      </c>
      <c r="F6" s="23">
        <v>366881</v>
      </c>
      <c r="G6" s="23">
        <v>590552</v>
      </c>
      <c r="H6" s="23">
        <v>558396</v>
      </c>
      <c r="I6" s="24"/>
    </row>
    <row r="7" spans="1:9" ht="24.75" customHeight="1" x14ac:dyDescent="0.15">
      <c r="A7" s="22">
        <v>4</v>
      </c>
      <c r="B7" s="22" t="s">
        <v>13</v>
      </c>
      <c r="C7" s="23">
        <v>762451</v>
      </c>
      <c r="D7" s="23">
        <v>170480</v>
      </c>
      <c r="E7" s="23">
        <v>753655</v>
      </c>
      <c r="F7" s="23">
        <v>548858</v>
      </c>
      <c r="G7" s="23">
        <v>650149</v>
      </c>
      <c r="H7" s="23">
        <v>156182</v>
      </c>
      <c r="I7" s="24"/>
    </row>
    <row r="8" spans="1:9" ht="24.75" customHeight="1" x14ac:dyDescent="0.15">
      <c r="A8" s="22">
        <v>5</v>
      </c>
      <c r="B8" s="22" t="s">
        <v>14</v>
      </c>
      <c r="C8" s="23">
        <v>518845</v>
      </c>
      <c r="D8" s="23">
        <v>463118</v>
      </c>
      <c r="E8" s="23">
        <v>558930</v>
      </c>
      <c r="F8" s="23">
        <v>589375</v>
      </c>
      <c r="G8" s="23">
        <v>714365</v>
      </c>
      <c r="H8" s="23">
        <v>722661</v>
      </c>
      <c r="I8" s="24"/>
    </row>
    <row r="9" spans="1:9" ht="24.75" customHeight="1" x14ac:dyDescent="0.15">
      <c r="A9" s="25">
        <v>6</v>
      </c>
      <c r="B9" s="25" t="s">
        <v>15</v>
      </c>
      <c r="C9" s="26">
        <v>782556</v>
      </c>
      <c r="D9" s="26">
        <v>381251</v>
      </c>
      <c r="E9" s="26">
        <v>661945</v>
      </c>
      <c r="F9" s="26">
        <v>380080</v>
      </c>
      <c r="G9" s="26">
        <v>436193</v>
      </c>
      <c r="H9" s="26">
        <v>607007</v>
      </c>
      <c r="I9" s="6"/>
    </row>
  </sheetData>
  <mergeCells count="1">
    <mergeCell ref="A2:I2"/>
  </mergeCells>
  <phoneticPr fontId="2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"/>
  <sheetViews>
    <sheetView workbookViewId="0">
      <selection activeCell="B5" sqref="B5"/>
    </sheetView>
  </sheetViews>
  <sheetFormatPr defaultRowHeight="19.5" customHeight="1" x14ac:dyDescent="0.15"/>
  <cols>
    <col min="1" max="1" width="3.25" style="1" customWidth="1"/>
    <col min="2" max="2" width="20" style="1" customWidth="1"/>
    <col min="3" max="7" width="14" style="1" customWidth="1"/>
    <col min="8" max="16384" width="9" style="1"/>
  </cols>
  <sheetData>
    <row r="1" spans="2:7" ht="30.75" customHeight="1" x14ac:dyDescent="0.15">
      <c r="B1" s="41" t="s">
        <v>50</v>
      </c>
      <c r="C1" s="41"/>
      <c r="D1" s="41"/>
      <c r="E1" s="41"/>
      <c r="F1" s="41"/>
      <c r="G1" s="41"/>
    </row>
    <row r="2" spans="2:7" customFormat="1" ht="13.5" x14ac:dyDescent="0.15"/>
    <row r="3" spans="2:7" s="2" customFormat="1" ht="25.5" customHeight="1" x14ac:dyDescent="0.15">
      <c r="B3" s="29" t="s">
        <v>2</v>
      </c>
      <c r="C3" s="30" t="s">
        <v>16</v>
      </c>
      <c r="D3" s="30" t="s">
        <v>17</v>
      </c>
      <c r="E3" s="30" t="s">
        <v>18</v>
      </c>
      <c r="F3" s="30" t="s">
        <v>19</v>
      </c>
      <c r="G3" s="31" t="s">
        <v>20</v>
      </c>
    </row>
    <row r="4" spans="2:7" ht="25.5" customHeight="1" x14ac:dyDescent="0.15">
      <c r="B4" s="32" t="s">
        <v>21</v>
      </c>
      <c r="C4" s="33">
        <v>13147720</v>
      </c>
      <c r="D4" s="33">
        <v>5486955</v>
      </c>
      <c r="E4" s="33">
        <v>11523941</v>
      </c>
      <c r="F4" s="33">
        <v>10639317</v>
      </c>
      <c r="G4" s="34">
        <v>11783308</v>
      </c>
    </row>
    <row r="5" spans="2:7" ht="25.5" customHeight="1" x14ac:dyDescent="0.15">
      <c r="B5" s="32" t="s">
        <v>22</v>
      </c>
      <c r="C5" s="33">
        <v>7768991</v>
      </c>
      <c r="D5" s="33">
        <v>12841505</v>
      </c>
      <c r="E5" s="33">
        <v>7141239</v>
      </c>
      <c r="F5" s="33">
        <v>13961107</v>
      </c>
      <c r="G5" s="34">
        <v>5452421</v>
      </c>
    </row>
    <row r="6" spans="2:7" ht="25.5" customHeight="1" x14ac:dyDescent="0.15">
      <c r="B6" s="32" t="s">
        <v>23</v>
      </c>
      <c r="C6" s="33">
        <v>11610562</v>
      </c>
      <c r="D6" s="33">
        <v>14930312</v>
      </c>
      <c r="E6" s="33">
        <v>14468926</v>
      </c>
      <c r="F6" s="33">
        <v>5454696</v>
      </c>
      <c r="G6" s="34">
        <v>6408404</v>
      </c>
    </row>
    <row r="7" spans="2:7" ht="25.5" customHeight="1" x14ac:dyDescent="0.15">
      <c r="B7" s="32" t="s">
        <v>24</v>
      </c>
      <c r="C7" s="33">
        <v>12190929</v>
      </c>
      <c r="D7" s="33">
        <v>7276659</v>
      </c>
      <c r="E7" s="33">
        <v>12746014</v>
      </c>
      <c r="F7" s="33">
        <v>8048907</v>
      </c>
      <c r="G7" s="34">
        <v>5843636</v>
      </c>
    </row>
    <row r="8" spans="2:7" ht="25.5" customHeight="1" x14ac:dyDescent="0.15">
      <c r="B8" s="32" t="s">
        <v>25</v>
      </c>
      <c r="C8" s="33">
        <v>9364698</v>
      </c>
      <c r="D8" s="33">
        <v>11360307</v>
      </c>
      <c r="E8" s="33">
        <v>10492066</v>
      </c>
      <c r="F8" s="33">
        <v>8551070</v>
      </c>
      <c r="G8" s="34">
        <v>12628588</v>
      </c>
    </row>
    <row r="9" spans="2:7" ht="25.5" customHeight="1" thickBot="1" x14ac:dyDescent="0.2">
      <c r="B9" s="38" t="s">
        <v>26</v>
      </c>
      <c r="C9" s="39">
        <v>10483562</v>
      </c>
      <c r="D9" s="39">
        <v>10662319</v>
      </c>
      <c r="E9" s="39">
        <v>11360682</v>
      </c>
      <c r="F9" s="39">
        <v>9668371</v>
      </c>
      <c r="G9" s="40">
        <v>12072684</v>
      </c>
    </row>
    <row r="10" spans="2:7" ht="25.5" customHeight="1" thickTop="1" x14ac:dyDescent="0.15">
      <c r="B10" s="35" t="s">
        <v>48</v>
      </c>
      <c r="C10" s="36"/>
      <c r="D10" s="36"/>
      <c r="E10" s="36"/>
      <c r="F10" s="36"/>
      <c r="G10" s="37">
        <f>SUBTOTAL(109,講座5年比較!$G$4:$G$9)</f>
        <v>54189041</v>
      </c>
    </row>
  </sheetData>
  <mergeCells count="1">
    <mergeCell ref="B1:G1"/>
  </mergeCells>
  <phoneticPr fontId="2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9.5" customHeight="1" x14ac:dyDescent="0.15"/>
  <cols>
    <col min="1" max="1" width="22" style="1" customWidth="1"/>
    <col min="2" max="8" width="16.875" style="1" customWidth="1"/>
    <col min="9" max="9" width="14" style="1" customWidth="1"/>
    <col min="10" max="16384" width="9" style="1"/>
  </cols>
  <sheetData>
    <row r="1" spans="1:9" ht="30.75" customHeight="1" x14ac:dyDescent="0.15">
      <c r="A1" s="4" t="s">
        <v>27</v>
      </c>
    </row>
    <row r="3" spans="1:9" ht="19.5" customHeight="1" x14ac:dyDescent="0.15">
      <c r="A3" s="5" t="s">
        <v>28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29</v>
      </c>
      <c r="I3" s="5" t="s">
        <v>30</v>
      </c>
    </row>
    <row r="4" spans="1:9" ht="19.5" customHeight="1" x14ac:dyDescent="0.15">
      <c r="A4" s="6" t="s">
        <v>31</v>
      </c>
      <c r="B4" s="7">
        <v>212262</v>
      </c>
      <c r="C4" s="7">
        <v>122942</v>
      </c>
      <c r="D4" s="7">
        <v>326576</v>
      </c>
      <c r="E4" s="7">
        <v>90162</v>
      </c>
      <c r="F4" s="7">
        <v>107307</v>
      </c>
      <c r="G4" s="7">
        <v>263480</v>
      </c>
      <c r="H4" s="7">
        <f t="shared" ref="H4:H10" si="0">AVERAGE(B4:G4)</f>
        <v>187121.5</v>
      </c>
      <c r="I4" s="7">
        <f>SUM(B4:G4)</f>
        <v>1122729</v>
      </c>
    </row>
    <row r="5" spans="1:9" ht="19.5" customHeight="1" x14ac:dyDescent="0.15">
      <c r="A5" s="6" t="s">
        <v>32</v>
      </c>
      <c r="B5" s="7">
        <v>197556</v>
      </c>
      <c r="C5" s="7">
        <v>115975</v>
      </c>
      <c r="D5" s="7">
        <v>101106</v>
      </c>
      <c r="E5" s="7">
        <v>96268</v>
      </c>
      <c r="F5" s="7">
        <v>209647</v>
      </c>
      <c r="G5" s="7">
        <v>184522</v>
      </c>
      <c r="H5" s="7">
        <f t="shared" si="0"/>
        <v>150845.66666666666</v>
      </c>
      <c r="I5" s="7">
        <f t="shared" ref="I5:I10" si="1">SUM(B5:G5)</f>
        <v>905074</v>
      </c>
    </row>
    <row r="6" spans="1:9" ht="19.5" customHeight="1" x14ac:dyDescent="0.15">
      <c r="A6" s="6" t="s">
        <v>33</v>
      </c>
      <c r="B6" s="7">
        <v>90684</v>
      </c>
      <c r="C6" s="7">
        <v>159892</v>
      </c>
      <c r="D6" s="7">
        <v>205066</v>
      </c>
      <c r="E6" s="7">
        <v>146176</v>
      </c>
      <c r="F6" s="7">
        <v>328282</v>
      </c>
      <c r="G6" s="7">
        <v>139973</v>
      </c>
      <c r="H6" s="7">
        <f t="shared" si="0"/>
        <v>178345.5</v>
      </c>
      <c r="I6" s="7">
        <f t="shared" si="1"/>
        <v>1070073</v>
      </c>
    </row>
    <row r="7" spans="1:9" ht="19.5" customHeight="1" x14ac:dyDescent="0.15">
      <c r="A7" s="6" t="s">
        <v>34</v>
      </c>
      <c r="B7" s="7">
        <v>194276</v>
      </c>
      <c r="C7" s="7">
        <v>323811</v>
      </c>
      <c r="D7" s="7">
        <v>214345</v>
      </c>
      <c r="E7" s="7">
        <v>273407</v>
      </c>
      <c r="F7" s="7">
        <v>167969</v>
      </c>
      <c r="G7" s="7">
        <v>140048</v>
      </c>
      <c r="H7" s="7">
        <f t="shared" si="0"/>
        <v>218976</v>
      </c>
      <c r="I7" s="7">
        <f t="shared" si="1"/>
        <v>1313856</v>
      </c>
    </row>
    <row r="8" spans="1:9" ht="19.5" customHeight="1" x14ac:dyDescent="0.15">
      <c r="A8" s="6" t="s">
        <v>35</v>
      </c>
      <c r="B8" s="7">
        <v>165860</v>
      </c>
      <c r="C8" s="7">
        <v>243073</v>
      </c>
      <c r="D8" s="7">
        <v>136674</v>
      </c>
      <c r="E8" s="7">
        <v>93462</v>
      </c>
      <c r="F8" s="7">
        <v>243555</v>
      </c>
      <c r="G8" s="7">
        <v>276768</v>
      </c>
      <c r="H8" s="7">
        <f t="shared" si="0"/>
        <v>193232</v>
      </c>
      <c r="I8" s="7">
        <f t="shared" si="1"/>
        <v>1159392</v>
      </c>
    </row>
    <row r="9" spans="1:9" ht="19.5" customHeight="1" x14ac:dyDescent="0.15">
      <c r="A9" s="6" t="s">
        <v>36</v>
      </c>
      <c r="B9" s="7">
        <v>287961</v>
      </c>
      <c r="C9" s="7">
        <v>183981</v>
      </c>
      <c r="D9" s="7">
        <v>119844</v>
      </c>
      <c r="E9" s="7">
        <v>207323</v>
      </c>
      <c r="F9" s="7">
        <v>133425</v>
      </c>
      <c r="G9" s="7">
        <v>238116</v>
      </c>
      <c r="H9" s="7">
        <f t="shared" si="0"/>
        <v>195108.33333333334</v>
      </c>
      <c r="I9" s="7">
        <f t="shared" si="1"/>
        <v>1170650</v>
      </c>
    </row>
    <row r="10" spans="1:9" ht="19.5" customHeight="1" x14ac:dyDescent="0.15">
      <c r="A10" s="6" t="s">
        <v>37</v>
      </c>
      <c r="B10" s="7">
        <v>143467</v>
      </c>
      <c r="C10" s="7">
        <v>101532</v>
      </c>
      <c r="D10" s="7">
        <v>262034</v>
      </c>
      <c r="E10" s="7">
        <v>304593</v>
      </c>
      <c r="F10" s="7">
        <v>274285</v>
      </c>
      <c r="G10" s="7">
        <v>116153</v>
      </c>
      <c r="H10" s="7">
        <f t="shared" si="0"/>
        <v>200344</v>
      </c>
      <c r="I10" s="7">
        <f t="shared" si="1"/>
        <v>1202064</v>
      </c>
    </row>
    <row r="11" spans="1:9" ht="27" customHeight="1" x14ac:dyDescent="0.15">
      <c r="A11" s="9" t="s">
        <v>49</v>
      </c>
      <c r="B11" s="8">
        <f t="shared" ref="B11:H11" si="2">SUM(B4:B10)</f>
        <v>1292066</v>
      </c>
      <c r="C11" s="8">
        <f t="shared" si="2"/>
        <v>1251206</v>
      </c>
      <c r="D11" s="8">
        <f t="shared" si="2"/>
        <v>1365645</v>
      </c>
      <c r="E11" s="8">
        <f t="shared" si="2"/>
        <v>1211391</v>
      </c>
      <c r="F11" s="8">
        <f t="shared" si="2"/>
        <v>1464470</v>
      </c>
      <c r="G11" s="8">
        <f t="shared" si="2"/>
        <v>1359060</v>
      </c>
      <c r="H11" s="8">
        <f t="shared" si="2"/>
        <v>1323973</v>
      </c>
      <c r="I11" s="8">
        <f>SUBTOTAL(109,教材販売!$I$4:$I$10)</f>
        <v>7943838</v>
      </c>
    </row>
  </sheetData>
  <phoneticPr fontId="2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6"/>
  <sheetViews>
    <sheetView workbookViewId="0"/>
  </sheetViews>
  <sheetFormatPr defaultRowHeight="19.5" customHeight="1" x14ac:dyDescent="0.15"/>
  <cols>
    <col min="1" max="1" width="8" style="1" customWidth="1"/>
    <col min="2" max="3" width="14" style="1" customWidth="1"/>
    <col min="4" max="16384" width="9" style="1"/>
  </cols>
  <sheetData>
    <row r="2" spans="2:3" ht="19.5" customHeight="1" x14ac:dyDescent="0.15">
      <c r="B2" s="28" t="s">
        <v>38</v>
      </c>
      <c r="C2" s="28"/>
    </row>
    <row r="3" spans="2:3" ht="19.5" customHeight="1" thickBot="1" x14ac:dyDescent="0.2"/>
    <row r="4" spans="2:3" ht="18" customHeight="1" thickBot="1" x14ac:dyDescent="0.2">
      <c r="B4" s="10" t="s">
        <v>39</v>
      </c>
      <c r="C4" s="11" t="s">
        <v>40</v>
      </c>
    </row>
    <row r="5" spans="2:3" ht="19.5" customHeight="1" x14ac:dyDescent="0.15">
      <c r="B5" s="12" t="s">
        <v>3</v>
      </c>
      <c r="C5" s="13">
        <v>7244306</v>
      </c>
    </row>
    <row r="6" spans="2:3" ht="19.5" customHeight="1" x14ac:dyDescent="0.15">
      <c r="B6" s="14" t="s">
        <v>4</v>
      </c>
      <c r="C6" s="15">
        <v>8431986</v>
      </c>
    </row>
    <row r="7" spans="2:3" ht="19.5" customHeight="1" x14ac:dyDescent="0.15">
      <c r="B7" s="16" t="s">
        <v>5</v>
      </c>
      <c r="C7" s="17">
        <v>5862454</v>
      </c>
    </row>
    <row r="8" spans="2:3" ht="19.5" customHeight="1" x14ac:dyDescent="0.15">
      <c r="B8" s="14" t="s">
        <v>6</v>
      </c>
      <c r="C8" s="15">
        <v>3106133</v>
      </c>
    </row>
    <row r="9" spans="2:3" ht="19.5" customHeight="1" x14ac:dyDescent="0.15">
      <c r="B9" s="16" t="s">
        <v>7</v>
      </c>
      <c r="C9" s="17">
        <v>6523708</v>
      </c>
    </row>
    <row r="10" spans="2:3" ht="19.5" customHeight="1" x14ac:dyDescent="0.15">
      <c r="B10" s="14" t="s">
        <v>8</v>
      </c>
      <c r="C10" s="15">
        <v>7112109</v>
      </c>
    </row>
    <row r="11" spans="2:3" ht="19.5" customHeight="1" x14ac:dyDescent="0.15">
      <c r="B11" s="16" t="s">
        <v>41</v>
      </c>
      <c r="C11" s="17">
        <v>3885324</v>
      </c>
    </row>
    <row r="12" spans="2:3" ht="19.5" customHeight="1" x14ac:dyDescent="0.15">
      <c r="B12" s="14" t="s">
        <v>42</v>
      </c>
      <c r="C12" s="15">
        <v>6636657</v>
      </c>
    </row>
    <row r="13" spans="2:3" ht="19.5" customHeight="1" x14ac:dyDescent="0.15">
      <c r="B13" s="16" t="s">
        <v>43</v>
      </c>
      <c r="C13" s="17">
        <v>6038253</v>
      </c>
    </row>
    <row r="14" spans="2:3" ht="19.5" customHeight="1" x14ac:dyDescent="0.15">
      <c r="B14" s="14" t="s">
        <v>44</v>
      </c>
      <c r="C14" s="15">
        <v>8331674</v>
      </c>
    </row>
    <row r="15" spans="2:3" ht="19.5" customHeight="1" x14ac:dyDescent="0.15">
      <c r="B15" s="16" t="s">
        <v>45</v>
      </c>
      <c r="C15" s="17">
        <v>6856573</v>
      </c>
    </row>
    <row r="16" spans="2:3" ht="19.5" customHeight="1" thickBot="1" x14ac:dyDescent="0.2">
      <c r="B16" s="18" t="s">
        <v>46</v>
      </c>
      <c r="C16" s="19">
        <v>8933334</v>
      </c>
    </row>
  </sheetData>
  <mergeCells count="1">
    <mergeCell ref="B2:C2"/>
  </mergeCells>
  <phoneticPr fontId="2"/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講座受講月次</vt:lpstr>
      <vt:lpstr>講座5年比較</vt:lpstr>
      <vt:lpstr>教材販売</vt:lpstr>
      <vt:lpstr>池袋校売上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2026-06-25T03:44:04Z</dcterms:created>
  <dcterms:modified xsi:type="dcterms:W3CDTF">2026-07-05T08:06:40Z</dcterms:modified>
</cp:coreProperties>
</file>