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F8A1C194-5B3E-4DD5-9588-59066EFEA51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外来月次" sheetId="2" r:id="rId1"/>
    <sheet name="過去5年間比較" sheetId="3" r:id="rId2"/>
    <sheet name="処置実績" sheetId="4" r:id="rId3"/>
    <sheet name="本院収益" sheetId="5" r:id="rId4"/>
  </sheets>
  <definedNames>
    <definedName name="_xlchart.v1.0" hidden="1">処置実績!$B$3:$B$9</definedName>
    <definedName name="_xlchart.v1.1" hidden="1">処置実績!$I$2</definedName>
    <definedName name="_xlchart.v1.2" hidden="1">処置実績!$I$3:$I$9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D10" i="4"/>
  <c r="E10" i="4"/>
  <c r="F10" i="4"/>
  <c r="G10" i="4"/>
  <c r="H10" i="4"/>
  <c r="I10" i="4"/>
  <c r="C10" i="3"/>
  <c r="D10" i="3"/>
  <c r="E10" i="3"/>
  <c r="F10" i="3"/>
  <c r="G10" i="3"/>
</calcChain>
</file>

<file path=xl/sharedStrings.xml><?xml version="1.0" encoding="utf-8"?>
<sst xmlns="http://schemas.openxmlformats.org/spreadsheetml/2006/main" count="69" uniqueCount="45">
  <si>
    <t>外来受付 月次収益推移（前月比）</t>
  </si>
  <si>
    <t>診療科</t>
  </si>
  <si>
    <t>区分</t>
  </si>
  <si>
    <t>1月</t>
  </si>
  <si>
    <t>2月</t>
  </si>
  <si>
    <t>3月</t>
  </si>
  <si>
    <t>4月</t>
  </si>
  <si>
    <t>5月</t>
  </si>
  <si>
    <t>6月</t>
  </si>
  <si>
    <t>収益推移</t>
  </si>
  <si>
    <t>内科</t>
  </si>
  <si>
    <t>前月比</t>
  </si>
  <si>
    <t>外科</t>
  </si>
  <si>
    <t>小児科</t>
  </si>
  <si>
    <t>整形外科</t>
  </si>
  <si>
    <t>皮膚科</t>
  </si>
  <si>
    <t>眼科</t>
  </si>
  <si>
    <t>処置名</t>
  </si>
  <si>
    <t>売上合計</t>
  </si>
  <si>
    <t>内視鏡検査</t>
  </si>
  <si>
    <t>CT撮影</t>
  </si>
  <si>
    <t>MRI撮影</t>
  </si>
  <si>
    <t>リハビリ施術</t>
  </si>
  <si>
    <t>物理療法</t>
  </si>
  <si>
    <t>点滴処置</t>
  </si>
  <si>
    <t>予防接種</t>
  </si>
  <si>
    <t>本院 月次収益</t>
  </si>
  <si>
    <t>月</t>
  </si>
  <si>
    <t>収益</t>
  </si>
  <si>
    <t>7月</t>
  </si>
  <si>
    <t>8月</t>
  </si>
  <si>
    <t>9月</t>
  </si>
  <si>
    <t>10月</t>
  </si>
  <si>
    <t>11月</t>
  </si>
  <si>
    <t>12月</t>
  </si>
  <si>
    <t>診療科別年別売上比較</t>
    <rPh sb="5" eb="6">
      <t>ベツ</t>
    </rPh>
    <phoneticPr fontId="6"/>
  </si>
  <si>
    <t>2026年度</t>
    <rPh sb="4" eb="6">
      <t>ネンド</t>
    </rPh>
    <phoneticPr fontId="6"/>
  </si>
  <si>
    <t>2022年度</t>
    <rPh sb="4" eb="6">
      <t>ネンド</t>
    </rPh>
    <phoneticPr fontId="6"/>
  </si>
  <si>
    <t>2023年度</t>
    <rPh sb="4" eb="6">
      <t>ネンド</t>
    </rPh>
    <phoneticPr fontId="6"/>
  </si>
  <si>
    <t>2024年度</t>
    <rPh sb="4" eb="6">
      <t>ネンド</t>
    </rPh>
    <phoneticPr fontId="6"/>
  </si>
  <si>
    <t>2025年度</t>
    <rPh sb="4" eb="6">
      <t>ネンド</t>
    </rPh>
    <phoneticPr fontId="6"/>
  </si>
  <si>
    <t>処置項目一覧</t>
  </si>
  <si>
    <t>集計</t>
  </si>
  <si>
    <t>合　計</t>
    <rPh sb="0" eb="1">
      <t>ア</t>
    </rPh>
    <rPh sb="2" eb="3">
      <t>ケイ</t>
    </rPh>
    <phoneticPr fontId="6"/>
  </si>
  <si>
    <t>単位:千円</t>
    <rPh sb="0" eb="2">
      <t>タンイ</t>
    </rPh>
    <rPh sb="3" eb="5">
      <t>センエン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</si>
</sst>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#,##0;\-#,##0;0"/>
  </numFmts>
  <fonts count="10" x14ac:knownFonts="1">
    <font>
      <sz val="11"/>
      <color theme="1"/>
      <name val="メイリオ"/>
      <family val="2"/>
      <scheme val="minor"/>
    </font>
    <font>
      <b/>
      <sz val="11"/>
      <color rgb="FFFFFFFF"/>
      <name val="ＭＳ Ｐゴシック"/>
      <family val="3"/>
      <charset val="128"/>
    </font>
    <font>
      <i/>
      <sz val="9"/>
      <color rgb="FF808080"/>
      <name val="ＭＳ Ｐゴシック"/>
      <family val="3"/>
      <charset val="128"/>
    </font>
    <font>
      <b/>
      <sz val="16"/>
      <color rgb="FF38761D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name val="メイリオ"/>
      <family val="3"/>
      <charset val="128"/>
      <scheme val="minor"/>
    </font>
    <font>
      <sz val="6"/>
      <name val="メイリオ"/>
      <family val="3"/>
      <charset val="128"/>
      <scheme val="minor"/>
    </font>
    <font>
      <b/>
      <sz val="18"/>
      <color rgb="FF7030A0"/>
      <name val="ＭＳ Ｐゴシック"/>
      <family val="3"/>
      <charset val="128"/>
    </font>
    <font>
      <sz val="11"/>
      <color rgb="FF7030A0"/>
      <name val="メイリオ"/>
      <family val="3"/>
      <charset val="128"/>
      <scheme val="minor"/>
    </font>
    <font>
      <b/>
      <sz val="11"/>
      <color theme="0"/>
      <name val="メイリオ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8761D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rgb="FFBFBFBF"/>
      </right>
      <top style="medium">
        <color theme="1"/>
      </top>
      <bottom/>
      <diagonal/>
    </border>
    <border>
      <left style="thin">
        <color rgb="FFBFBFBF"/>
      </left>
      <right style="thin">
        <color rgb="FFBFBFBF"/>
      </right>
      <top style="thick">
        <color theme="0"/>
      </top>
      <bottom style="thin">
        <color rgb="FFBFBFBF"/>
      </bottom>
      <diagonal/>
    </border>
    <border>
      <left style="thin">
        <color rgb="FFBFBFBF"/>
      </left>
      <right/>
      <top style="thick">
        <color theme="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2" fillId="0" borderId="0" xfId="0" applyFont="1"/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4" borderId="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/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176" fontId="0" fillId="4" borderId="12" xfId="0" applyNumberForma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4" borderId="0" xfId="0" applyNumberFormat="1" applyFill="1" applyAlignment="1">
      <alignment vertical="center"/>
    </xf>
    <xf numFmtId="176" fontId="0" fillId="0" borderId="10" xfId="0" applyNumberFormat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3" fontId="0" fillId="6" borderId="6" xfId="0" applyNumberFormat="1" applyFont="1" applyFill="1" applyBorder="1" applyAlignment="1">
      <alignment vertical="center"/>
    </xf>
    <xf numFmtId="3" fontId="0" fillId="6" borderId="5" xfId="0" applyNumberFormat="1" applyFont="1" applyFill="1" applyBorder="1" applyAlignment="1">
      <alignment vertical="center"/>
    </xf>
    <xf numFmtId="0" fontId="9" fillId="5" borderId="15" xfId="0" applyFont="1" applyFill="1" applyBorder="1" applyAlignment="1">
      <alignment horizontal="center" vertical="center"/>
    </xf>
    <xf numFmtId="3" fontId="9" fillId="5" borderId="14" xfId="0" applyNumberFormat="1" applyFont="1" applyFill="1" applyBorder="1" applyAlignment="1">
      <alignment vertical="center"/>
    </xf>
    <xf numFmtId="3" fontId="9" fillId="5" borderId="15" xfId="0" applyNumberFormat="1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3" fontId="0" fillId="0" borderId="16" xfId="0" applyNumberFormat="1" applyBorder="1" applyAlignment="1">
      <alignment vertical="center"/>
    </xf>
    <xf numFmtId="0" fontId="0" fillId="0" borderId="17" xfId="0" applyBorder="1" applyAlignment="1">
      <alignment horizontal="left" vertical="center" inden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0" borderId="18" xfId="0" applyNumberFormat="1" applyBorder="1"/>
    <xf numFmtId="1" fontId="0" fillId="0" borderId="7" xfId="0" applyNumberFormat="1" applyBorder="1"/>
    <xf numFmtId="1" fontId="0" fillId="0" borderId="0" xfId="0" applyNumberForma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処置実績!$I$2</c:f>
              <c:strCache>
                <c:ptCount val="1"/>
                <c:pt idx="0">
                  <c:v>売上合計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処置実績!$B$3:$B$9</c:f>
              <c:strCache>
                <c:ptCount val="7"/>
                <c:pt idx="0">
                  <c:v>内視鏡検査</c:v>
                </c:pt>
                <c:pt idx="1">
                  <c:v>CT撮影</c:v>
                </c:pt>
                <c:pt idx="2">
                  <c:v>MRI撮影</c:v>
                </c:pt>
                <c:pt idx="3">
                  <c:v>リハビリ施術</c:v>
                </c:pt>
                <c:pt idx="4">
                  <c:v>物理療法</c:v>
                </c:pt>
                <c:pt idx="5">
                  <c:v>点滴処置</c:v>
                </c:pt>
                <c:pt idx="6">
                  <c:v>予防接種</c:v>
                </c:pt>
              </c:strCache>
            </c:strRef>
          </c:cat>
          <c:val>
            <c:numRef>
              <c:f>処置実績!$I$3:$I$9</c:f>
              <c:numCache>
                <c:formatCode>0</c:formatCode>
                <c:ptCount val="7"/>
                <c:pt idx="0">
                  <c:v>2017.7260000000001</c:v>
                </c:pt>
                <c:pt idx="1">
                  <c:v>2613.9549999999999</c:v>
                </c:pt>
                <c:pt idx="2">
                  <c:v>2759.875</c:v>
                </c:pt>
                <c:pt idx="3">
                  <c:v>2119.6460000000002</c:v>
                </c:pt>
                <c:pt idx="4">
                  <c:v>2686.5070000000001</c:v>
                </c:pt>
                <c:pt idx="5">
                  <c:v>2063.6660000000002</c:v>
                </c:pt>
                <c:pt idx="6">
                  <c:v>3374.6419999999998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8-40DC-882A-2412A206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389696"/>
        <c:axId val="169597584"/>
      </c:barChart>
      <c:catAx>
        <c:axId val="4738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597584"/>
        <c:crosses val="autoZero"/>
        <c:auto val="1"/>
        <c:lblAlgn val="ctr"/>
        <c:lblOffset val="100"/>
        <c:noMultiLvlLbl val="0"/>
      </c:catAx>
      <c:valAx>
        <c:axId val="16959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3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j-ea"/>
                <a:ea typeface="+mj-ea"/>
                <a:cs typeface="+mn-cs"/>
              </a:defRPr>
            </a:pPr>
            <a:r>
              <a:rPr lang="ja-JP" sz="1200" b="0"/>
              <a:t>本院 月次収益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j-ea"/>
              <a:ea typeface="+mj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本院収益!$C$3</c:f>
              <c:strCache>
                <c:ptCount val="1"/>
                <c:pt idx="0">
                  <c:v>収益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41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tint val="52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tint val="63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74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84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tint val="95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4">
                  <a:shade val="94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shade val="83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shade val="73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shade val="62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shade val="51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shade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j-ea"/>
                    <a:ea typeface="+mj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60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本院収益!$B$4:$B$15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本院収益!$C$4:$C$15</c:f>
              <c:numCache>
                <c:formatCode>#,##0</c:formatCode>
                <c:ptCount val="12"/>
                <c:pt idx="0">
                  <c:v>31329982</c:v>
                </c:pt>
                <c:pt idx="1">
                  <c:v>20194119</c:v>
                </c:pt>
                <c:pt idx="2">
                  <c:v>21371915</c:v>
                </c:pt>
                <c:pt idx="3">
                  <c:v>24955862</c:v>
                </c:pt>
                <c:pt idx="4">
                  <c:v>22304829</c:v>
                </c:pt>
                <c:pt idx="5">
                  <c:v>16962373</c:v>
                </c:pt>
                <c:pt idx="6">
                  <c:v>34434065</c:v>
                </c:pt>
                <c:pt idx="7">
                  <c:v>33193052</c:v>
                </c:pt>
                <c:pt idx="8">
                  <c:v>17045396</c:v>
                </c:pt>
                <c:pt idx="9">
                  <c:v>25522831</c:v>
                </c:pt>
                <c:pt idx="10">
                  <c:v>16918148</c:v>
                </c:pt>
                <c:pt idx="11">
                  <c:v>16682497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6-47E1-8740-96F01A5A8F9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sq" cmpd="sng" algn="ctr">
      <a:solidFill>
        <a:schemeClr val="bg1">
          <a:lumMod val="85000"/>
        </a:schemeClr>
      </a:solidFill>
      <a:prstDash val="solid"/>
      <a:miter lim="800000"/>
    </a:ln>
    <a:effectLst/>
  </c:spPr>
  <c:txPr>
    <a:bodyPr/>
    <a:lstStyle/>
    <a:p>
      <a:pPr>
        <a:defRPr>
          <a:latin typeface="+mj-ea"/>
          <a:ea typeface="+mj-ea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9</xdr:row>
      <xdr:rowOff>142875</xdr:rowOff>
    </xdr:from>
    <xdr:to>
      <xdr:col>11</xdr:col>
      <xdr:colOff>38100</xdr:colOff>
      <xdr:row>18</xdr:row>
      <xdr:rowOff>228600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6B2845E-E08F-8EAE-F6BA-6C9FC8449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761999</xdr:colOff>
      <xdr:row>1</xdr:row>
      <xdr:rowOff>295274</xdr:rowOff>
    </xdr:from>
    <xdr:ext cx="5314951" cy="44577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しずく">
  <a:themeElements>
    <a:clrScheme name="シック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しずく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"/>
  <sheetViews>
    <sheetView workbookViewId="0">
      <selection activeCell="J4" sqref="J4:J9"/>
    </sheetView>
  </sheetViews>
  <sheetFormatPr defaultRowHeight="23.25" customHeight="1" x14ac:dyDescent="0.45"/>
  <cols>
    <col min="1" max="1" width="2.6640625" customWidth="1"/>
    <col min="2" max="2" width="18.109375" customWidth="1"/>
    <col min="3" max="3" width="10.109375" customWidth="1"/>
    <col min="4" max="9" width="8.88671875" customWidth="1"/>
    <col min="10" max="10" width="20.33203125" customWidth="1"/>
  </cols>
  <sheetData>
    <row r="1" spans="2:10" ht="22.5" customHeight="1" x14ac:dyDescent="0.45"/>
    <row r="2" spans="2:10" ht="23.25" customHeight="1" x14ac:dyDescent="0.45">
      <c r="B2" s="28" t="s">
        <v>0</v>
      </c>
      <c r="C2" s="29"/>
      <c r="D2" s="29"/>
      <c r="E2" s="29"/>
      <c r="F2" s="29"/>
      <c r="G2" s="29"/>
      <c r="H2" s="29"/>
      <c r="I2" s="29"/>
      <c r="J2" s="29"/>
    </row>
    <row r="3" spans="2:10" ht="23.25" customHeight="1" thickBot="1" x14ac:dyDescent="0.5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7" t="s">
        <v>9</v>
      </c>
    </row>
    <row r="4" spans="2:10" ht="23.25" customHeight="1" x14ac:dyDescent="0.45">
      <c r="B4" s="8" t="s">
        <v>10</v>
      </c>
      <c r="C4" s="9" t="s">
        <v>11</v>
      </c>
      <c r="D4" s="20">
        <v>215</v>
      </c>
      <c r="E4" s="20">
        <v>290</v>
      </c>
      <c r="F4" s="20">
        <v>303</v>
      </c>
      <c r="G4" s="20">
        <v>-368</v>
      </c>
      <c r="H4" s="20">
        <v>-369</v>
      </c>
      <c r="I4" s="20">
        <v>413</v>
      </c>
      <c r="J4" s="10"/>
    </row>
    <row r="5" spans="2:10" ht="23.25" customHeight="1" x14ac:dyDescent="0.45">
      <c r="B5" s="11" t="s">
        <v>12</v>
      </c>
      <c r="C5" s="12" t="s">
        <v>11</v>
      </c>
      <c r="D5" s="21">
        <v>77</v>
      </c>
      <c r="E5" s="21">
        <v>242</v>
      </c>
      <c r="F5" s="21">
        <v>-252</v>
      </c>
      <c r="G5" s="21">
        <v>-389</v>
      </c>
      <c r="H5" s="21">
        <v>276</v>
      </c>
      <c r="I5" s="21">
        <v>-279</v>
      </c>
      <c r="J5" s="13"/>
    </row>
    <row r="6" spans="2:10" ht="23.25" customHeight="1" x14ac:dyDescent="0.45">
      <c r="B6" s="14" t="s">
        <v>13</v>
      </c>
      <c r="C6" s="15" t="s">
        <v>11</v>
      </c>
      <c r="D6" s="22">
        <v>-465</v>
      </c>
      <c r="E6" s="22">
        <v>450</v>
      </c>
      <c r="F6" s="22">
        <v>-98</v>
      </c>
      <c r="G6" s="22">
        <v>410</v>
      </c>
      <c r="H6" s="22">
        <v>-296</v>
      </c>
      <c r="I6" s="22">
        <v>-326</v>
      </c>
      <c r="J6" s="16"/>
    </row>
    <row r="7" spans="2:10" ht="23.25" customHeight="1" x14ac:dyDescent="0.45">
      <c r="B7" s="11" t="s">
        <v>14</v>
      </c>
      <c r="C7" s="12" t="s">
        <v>11</v>
      </c>
      <c r="D7" s="21">
        <v>270</v>
      </c>
      <c r="E7" s="21">
        <v>-77</v>
      </c>
      <c r="F7" s="21">
        <v>469</v>
      </c>
      <c r="G7" s="21">
        <v>142</v>
      </c>
      <c r="H7" s="21">
        <v>-143</v>
      </c>
      <c r="I7" s="21">
        <v>-63</v>
      </c>
      <c r="J7" s="13"/>
    </row>
    <row r="8" spans="2:10" ht="23.25" customHeight="1" x14ac:dyDescent="0.45">
      <c r="B8" s="14" t="s">
        <v>15</v>
      </c>
      <c r="C8" s="15" t="s">
        <v>11</v>
      </c>
      <c r="D8" s="22">
        <v>437</v>
      </c>
      <c r="E8" s="22">
        <v>-409</v>
      </c>
      <c r="F8" s="22">
        <v>-85</v>
      </c>
      <c r="G8" s="22">
        <v>301</v>
      </c>
      <c r="H8" s="22">
        <v>-155</v>
      </c>
      <c r="I8" s="22">
        <v>128</v>
      </c>
      <c r="J8" s="16"/>
    </row>
    <row r="9" spans="2:10" ht="23.25" customHeight="1" x14ac:dyDescent="0.45">
      <c r="B9" s="17" t="s">
        <v>16</v>
      </c>
      <c r="C9" s="18" t="s">
        <v>11</v>
      </c>
      <c r="D9" s="23">
        <v>-385</v>
      </c>
      <c r="E9" s="23">
        <v>224</v>
      </c>
      <c r="F9" s="23">
        <v>244</v>
      </c>
      <c r="G9" s="23">
        <v>81</v>
      </c>
      <c r="H9" s="23">
        <v>-135</v>
      </c>
      <c r="I9" s="23">
        <v>-193</v>
      </c>
      <c r="J9" s="19"/>
    </row>
  </sheetData>
  <mergeCells count="1">
    <mergeCell ref="B2:J2"/>
  </mergeCells>
  <phoneticPr fontId="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"/>
  <sheetViews>
    <sheetView workbookViewId="0">
      <selection activeCell="B3" sqref="B3:D9"/>
    </sheetView>
  </sheetViews>
  <sheetFormatPr defaultRowHeight="23.25" customHeight="1" x14ac:dyDescent="0.45"/>
  <cols>
    <col min="1" max="1" width="2.6640625" customWidth="1"/>
    <col min="2" max="2" width="18.109375" customWidth="1"/>
    <col min="3" max="7" width="14.109375" customWidth="1"/>
  </cols>
  <sheetData>
    <row r="1" spans="2:7" ht="23.25" customHeight="1" x14ac:dyDescent="0.45">
      <c r="B1" s="30" t="s">
        <v>35</v>
      </c>
      <c r="C1" s="31"/>
      <c r="D1" s="31"/>
      <c r="E1" s="31"/>
      <c r="F1" s="31"/>
      <c r="G1" s="31"/>
    </row>
    <row r="3" spans="2:7" ht="23.25" customHeight="1" x14ac:dyDescent="0.45">
      <c r="B3" s="24" t="s">
        <v>1</v>
      </c>
      <c r="C3" s="24" t="s">
        <v>37</v>
      </c>
      <c r="D3" s="24" t="s">
        <v>38</v>
      </c>
      <c r="E3" s="24" t="s">
        <v>39</v>
      </c>
      <c r="F3" s="24" t="s">
        <v>40</v>
      </c>
      <c r="G3" s="25" t="s">
        <v>36</v>
      </c>
    </row>
    <row r="4" spans="2:7" ht="23.25" customHeight="1" x14ac:dyDescent="0.45">
      <c r="B4" s="34" t="s">
        <v>10</v>
      </c>
      <c r="C4" s="35">
        <v>8705792</v>
      </c>
      <c r="D4" s="35">
        <v>15721369</v>
      </c>
      <c r="E4" s="35">
        <v>15389269</v>
      </c>
      <c r="F4" s="35">
        <v>8241284</v>
      </c>
      <c r="G4" s="36">
        <v>10382132</v>
      </c>
    </row>
    <row r="5" spans="2:7" ht="23.25" customHeight="1" x14ac:dyDescent="0.45">
      <c r="B5" s="34" t="s">
        <v>12</v>
      </c>
      <c r="C5" s="35">
        <v>9975475</v>
      </c>
      <c r="D5" s="35">
        <v>15682011</v>
      </c>
      <c r="E5" s="35">
        <v>10261579</v>
      </c>
      <c r="F5" s="35">
        <v>9054043</v>
      </c>
      <c r="G5" s="36">
        <v>19087340</v>
      </c>
    </row>
    <row r="6" spans="2:7" ht="23.25" customHeight="1" x14ac:dyDescent="0.45">
      <c r="B6" s="34" t="s">
        <v>13</v>
      </c>
      <c r="C6" s="35">
        <v>10377578</v>
      </c>
      <c r="D6" s="35">
        <v>15986110</v>
      </c>
      <c r="E6" s="35">
        <v>17344146</v>
      </c>
      <c r="F6" s="35">
        <v>24287807</v>
      </c>
      <c r="G6" s="36">
        <v>15188594</v>
      </c>
    </row>
    <row r="7" spans="2:7" ht="23.25" customHeight="1" x14ac:dyDescent="0.45">
      <c r="B7" s="34" t="s">
        <v>14</v>
      </c>
      <c r="C7" s="35">
        <v>12439648</v>
      </c>
      <c r="D7" s="35">
        <v>23860207</v>
      </c>
      <c r="E7" s="35">
        <v>16153634</v>
      </c>
      <c r="F7" s="35">
        <v>23870338</v>
      </c>
      <c r="G7" s="36">
        <v>21658665</v>
      </c>
    </row>
    <row r="8" spans="2:7" ht="23.25" customHeight="1" x14ac:dyDescent="0.45">
      <c r="B8" s="34" t="s">
        <v>15</v>
      </c>
      <c r="C8" s="35">
        <v>14389096</v>
      </c>
      <c r="D8" s="35">
        <v>11165048</v>
      </c>
      <c r="E8" s="35">
        <v>11252458</v>
      </c>
      <c r="F8" s="35">
        <v>22463677</v>
      </c>
      <c r="G8" s="36">
        <v>19888253</v>
      </c>
    </row>
    <row r="9" spans="2:7" ht="23.25" customHeight="1" thickBot="1" x14ac:dyDescent="0.5">
      <c r="B9" s="34" t="s">
        <v>16</v>
      </c>
      <c r="C9" s="35">
        <v>22212940</v>
      </c>
      <c r="D9" s="35">
        <v>21794303</v>
      </c>
      <c r="E9" s="35">
        <v>23670747</v>
      </c>
      <c r="F9" s="35">
        <v>9817683</v>
      </c>
      <c r="G9" s="36">
        <v>11302355</v>
      </c>
    </row>
    <row r="10" spans="2:7" ht="23.25" customHeight="1" thickTop="1" x14ac:dyDescent="0.45">
      <c r="B10" s="37" t="s">
        <v>42</v>
      </c>
      <c r="C10" s="39">
        <f t="shared" ref="C10:F10" si="0">SUM(C4:C9)</f>
        <v>78100529</v>
      </c>
      <c r="D10" s="39">
        <f t="shared" si="0"/>
        <v>104209048</v>
      </c>
      <c r="E10" s="39">
        <f t="shared" si="0"/>
        <v>94071833</v>
      </c>
      <c r="F10" s="39">
        <f t="shared" si="0"/>
        <v>97734832</v>
      </c>
      <c r="G10" s="38">
        <f>SUBTOTAL(109,過去5年間比較!$G$4:$G$9)</f>
        <v>97507339</v>
      </c>
    </row>
    <row r="12" spans="2:7" ht="23.25" customHeight="1" x14ac:dyDescent="0.45">
      <c r="B12" s="4"/>
    </row>
  </sheetData>
  <mergeCells count="1">
    <mergeCell ref="B1:G1"/>
  </mergeCells>
  <phoneticPr fontId="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"/>
  <sheetViews>
    <sheetView workbookViewId="0">
      <selection activeCell="C13" sqref="C13"/>
    </sheetView>
  </sheetViews>
  <sheetFormatPr defaultRowHeight="23.25" customHeight="1" x14ac:dyDescent="0.45"/>
  <cols>
    <col min="1" max="1" width="2.6640625" customWidth="1"/>
    <col min="2" max="2" width="22.109375" customWidth="1"/>
    <col min="3" max="8" width="10.109375" customWidth="1"/>
    <col min="9" max="9" width="14.109375" customWidth="1"/>
  </cols>
  <sheetData>
    <row r="1" spans="2:9" ht="23.25" customHeight="1" x14ac:dyDescent="0.45">
      <c r="B1" s="27" t="s">
        <v>41</v>
      </c>
      <c r="I1" s="43" t="s">
        <v>44</v>
      </c>
    </row>
    <row r="2" spans="2:9" ht="23.25" customHeight="1" x14ac:dyDescent="0.45">
      <c r="B2" s="1" t="s">
        <v>17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18</v>
      </c>
    </row>
    <row r="3" spans="2:9" ht="23.25" customHeight="1" x14ac:dyDescent="0.45">
      <c r="B3" s="3" t="s">
        <v>19</v>
      </c>
      <c r="C3" s="44">
        <v>163.55600000000001</v>
      </c>
      <c r="D3" s="44">
        <v>522.17899999999997</v>
      </c>
      <c r="E3" s="44">
        <v>455.78399999999999</v>
      </c>
      <c r="F3" s="44">
        <v>214.57599999999999</v>
      </c>
      <c r="G3" s="44">
        <v>360.73500000000001</v>
      </c>
      <c r="H3" s="44">
        <v>300.89600000000002</v>
      </c>
      <c r="I3" s="46">
        <v>2017.7260000000001</v>
      </c>
    </row>
    <row r="4" spans="2:9" ht="23.25" customHeight="1" x14ac:dyDescent="0.45">
      <c r="B4" s="3" t="s">
        <v>20</v>
      </c>
      <c r="C4" s="44">
        <v>299.44799999999998</v>
      </c>
      <c r="D4" s="44">
        <v>662.33600000000001</v>
      </c>
      <c r="E4" s="44">
        <v>570.40499999999997</v>
      </c>
      <c r="F4" s="44">
        <v>246.99100000000001</v>
      </c>
      <c r="G4" s="44">
        <v>542.37400000000002</v>
      </c>
      <c r="H4" s="44">
        <v>292.40100000000001</v>
      </c>
      <c r="I4" s="47">
        <v>2613.9549999999999</v>
      </c>
    </row>
    <row r="5" spans="2:9" ht="23.25" customHeight="1" x14ac:dyDescent="0.45">
      <c r="B5" s="3" t="s">
        <v>21</v>
      </c>
      <c r="C5" s="44">
        <v>392.07499999999999</v>
      </c>
      <c r="D5" s="44">
        <v>585.1</v>
      </c>
      <c r="E5" s="44">
        <v>361.94099999999997</v>
      </c>
      <c r="F5" s="44">
        <v>179.04599999999999</v>
      </c>
      <c r="G5" s="44">
        <v>564.65599999999995</v>
      </c>
      <c r="H5" s="44">
        <v>677.05700000000002</v>
      </c>
      <c r="I5" s="47">
        <v>2759.875</v>
      </c>
    </row>
    <row r="6" spans="2:9" ht="23.25" customHeight="1" x14ac:dyDescent="0.45">
      <c r="B6" s="3" t="s">
        <v>22</v>
      </c>
      <c r="C6" s="44">
        <v>202.66399999999999</v>
      </c>
      <c r="D6" s="44">
        <v>153.04499999999999</v>
      </c>
      <c r="E6" s="44">
        <v>783.82299999999998</v>
      </c>
      <c r="F6" s="44">
        <v>666.84699999999998</v>
      </c>
      <c r="G6" s="44">
        <v>115.474</v>
      </c>
      <c r="H6" s="44">
        <v>197.79300000000001</v>
      </c>
      <c r="I6" s="47">
        <v>2119.6460000000002</v>
      </c>
    </row>
    <row r="7" spans="2:9" ht="23.25" customHeight="1" x14ac:dyDescent="0.45">
      <c r="B7" s="3" t="s">
        <v>23</v>
      </c>
      <c r="C7" s="44">
        <v>347.86099999999999</v>
      </c>
      <c r="D7" s="44">
        <v>274.38900000000001</v>
      </c>
      <c r="E7" s="44">
        <v>526.15599999999995</v>
      </c>
      <c r="F7" s="44">
        <v>609.23099999999999</v>
      </c>
      <c r="G7" s="44">
        <v>604.74</v>
      </c>
      <c r="H7" s="44">
        <v>324.13</v>
      </c>
      <c r="I7" s="47">
        <v>2686.5070000000001</v>
      </c>
    </row>
    <row r="8" spans="2:9" ht="23.25" customHeight="1" x14ac:dyDescent="0.45">
      <c r="B8" s="3" t="s">
        <v>24</v>
      </c>
      <c r="C8" s="44">
        <v>520.52099999999996</v>
      </c>
      <c r="D8" s="44">
        <v>161.483</v>
      </c>
      <c r="E8" s="44">
        <v>272.63400000000001</v>
      </c>
      <c r="F8" s="44">
        <v>497.38200000000001</v>
      </c>
      <c r="G8" s="44">
        <v>102.26</v>
      </c>
      <c r="H8" s="44">
        <v>509.38600000000002</v>
      </c>
      <c r="I8" s="47">
        <v>2063.6660000000002</v>
      </c>
    </row>
    <row r="9" spans="2:9" ht="23.25" customHeight="1" x14ac:dyDescent="0.45">
      <c r="B9" s="42" t="s">
        <v>25</v>
      </c>
      <c r="C9" s="45">
        <v>378.08499999999998</v>
      </c>
      <c r="D9" s="45">
        <v>577.11</v>
      </c>
      <c r="E9" s="45">
        <v>399.10500000000002</v>
      </c>
      <c r="F9" s="45">
        <v>543.55499999999995</v>
      </c>
      <c r="G9" s="45">
        <v>682.76499999999999</v>
      </c>
      <c r="H9" s="45">
        <v>794.02200000000005</v>
      </c>
      <c r="I9" s="45">
        <v>3374.6419999999998</v>
      </c>
    </row>
    <row r="10" spans="2:9" ht="23.25" customHeight="1" x14ac:dyDescent="0.45">
      <c r="B10" s="40" t="s">
        <v>43</v>
      </c>
      <c r="C10" s="41">
        <f t="shared" ref="C10:I10" si="0">SUM(C3:C9)</f>
        <v>2304.2099999999996</v>
      </c>
      <c r="D10" s="41">
        <f t="shared" si="0"/>
        <v>2935.6420000000003</v>
      </c>
      <c r="E10" s="41">
        <f t="shared" si="0"/>
        <v>3369.848</v>
      </c>
      <c r="F10" s="41">
        <f t="shared" si="0"/>
        <v>2957.6279999999997</v>
      </c>
      <c r="G10" s="41">
        <f t="shared" si="0"/>
        <v>2973.0039999999999</v>
      </c>
      <c r="H10" s="41">
        <f t="shared" si="0"/>
        <v>3095.6849999999999</v>
      </c>
      <c r="I10" s="41">
        <f t="shared" si="0"/>
        <v>17636.017</v>
      </c>
    </row>
  </sheetData>
  <phoneticPr fontId="6"/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5"/>
  <sheetViews>
    <sheetView tabSelected="1" workbookViewId="0"/>
  </sheetViews>
  <sheetFormatPr defaultRowHeight="23.25" customHeight="1" x14ac:dyDescent="0.45"/>
  <cols>
    <col min="1" max="1" width="2.6640625" customWidth="1"/>
    <col min="2" max="2" width="14.44140625" customWidth="1"/>
    <col min="3" max="3" width="14.109375" customWidth="1"/>
  </cols>
  <sheetData>
    <row r="1" spans="2:3" ht="23.25" customHeight="1" x14ac:dyDescent="0.45">
      <c r="B1" s="33" t="s">
        <v>26</v>
      </c>
      <c r="C1" s="32"/>
    </row>
    <row r="3" spans="2:3" ht="23.25" customHeight="1" x14ac:dyDescent="0.45">
      <c r="B3" s="1" t="s">
        <v>27</v>
      </c>
      <c r="C3" s="1" t="s">
        <v>28</v>
      </c>
    </row>
    <row r="4" spans="2:3" ht="23.25" customHeight="1" x14ac:dyDescent="0.45">
      <c r="B4" s="2" t="s">
        <v>3</v>
      </c>
      <c r="C4" s="26">
        <v>31329982</v>
      </c>
    </row>
    <row r="5" spans="2:3" ht="23.25" customHeight="1" x14ac:dyDescent="0.45">
      <c r="B5" s="2" t="s">
        <v>4</v>
      </c>
      <c r="C5" s="26">
        <v>20194119</v>
      </c>
    </row>
    <row r="6" spans="2:3" ht="23.25" customHeight="1" x14ac:dyDescent="0.45">
      <c r="B6" s="2" t="s">
        <v>5</v>
      </c>
      <c r="C6" s="26">
        <v>21371915</v>
      </c>
    </row>
    <row r="7" spans="2:3" ht="23.25" customHeight="1" x14ac:dyDescent="0.45">
      <c r="B7" s="2" t="s">
        <v>6</v>
      </c>
      <c r="C7" s="26">
        <v>24955862</v>
      </c>
    </row>
    <row r="8" spans="2:3" ht="23.25" customHeight="1" x14ac:dyDescent="0.45">
      <c r="B8" s="2" t="s">
        <v>7</v>
      </c>
      <c r="C8" s="26">
        <v>22304829</v>
      </c>
    </row>
    <row r="9" spans="2:3" ht="23.25" customHeight="1" x14ac:dyDescent="0.45">
      <c r="B9" s="2" t="s">
        <v>8</v>
      </c>
      <c r="C9" s="26">
        <v>16962373</v>
      </c>
    </row>
    <row r="10" spans="2:3" ht="23.25" customHeight="1" x14ac:dyDescent="0.45">
      <c r="B10" s="2" t="s">
        <v>29</v>
      </c>
      <c r="C10" s="26">
        <v>34434065</v>
      </c>
    </row>
    <row r="11" spans="2:3" ht="23.25" customHeight="1" x14ac:dyDescent="0.45">
      <c r="B11" s="2" t="s">
        <v>30</v>
      </c>
      <c r="C11" s="26">
        <v>33193052</v>
      </c>
    </row>
    <row r="12" spans="2:3" ht="23.25" customHeight="1" x14ac:dyDescent="0.45">
      <c r="B12" s="2" t="s">
        <v>31</v>
      </c>
      <c r="C12" s="26">
        <v>17045396</v>
      </c>
    </row>
    <row r="13" spans="2:3" ht="23.25" customHeight="1" x14ac:dyDescent="0.45">
      <c r="B13" s="2" t="s">
        <v>32</v>
      </c>
      <c r="C13" s="26">
        <v>25522831</v>
      </c>
    </row>
    <row r="14" spans="2:3" ht="23.25" customHeight="1" x14ac:dyDescent="0.45">
      <c r="B14" s="2" t="s">
        <v>33</v>
      </c>
      <c r="C14" s="26">
        <v>16918148</v>
      </c>
    </row>
    <row r="15" spans="2:3" ht="23.25" customHeight="1" x14ac:dyDescent="0.45">
      <c r="B15" s="2" t="s">
        <v>34</v>
      </c>
      <c r="C15" s="26">
        <v>16682497</v>
      </c>
    </row>
  </sheetData>
  <mergeCells count="1">
    <mergeCell ref="B1:C1"/>
  </mergeCells>
  <phoneticPr fontId="6"/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外来月次</vt:lpstr>
      <vt:lpstr>過去5年間比較</vt:lpstr>
      <vt:lpstr>処置実績</vt:lpstr>
      <vt:lpstr>本院収益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2026-06-25T03:38:57Z</dcterms:created>
  <dcterms:modified xsi:type="dcterms:W3CDTF">2026-07-05T07:23:17Z</dcterms:modified>
</cp:coreProperties>
</file>