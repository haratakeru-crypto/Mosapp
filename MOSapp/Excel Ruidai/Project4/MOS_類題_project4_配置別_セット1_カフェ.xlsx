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"/>
    </mc:Choice>
  </mc:AlternateContent>
  <xr:revisionPtr revIDLastSave="0" documentId="13_ncr:1_{8E27A43C-3F7E-4E4B-8BC9-5F7C6814E0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焙煎豆売上" sheetId="2" r:id="rId1"/>
    <sheet name="ラテ5年比較" sheetId="3" r:id="rId2"/>
    <sheet name="スイーツ下半期" sheetId="4" r:id="rId3"/>
    <sheet name="駅前店売上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D11" i="4"/>
  <c r="E11" i="4"/>
  <c r="F11" i="4"/>
  <c r="G11" i="4"/>
  <c r="H11" i="4"/>
  <c r="B11" i="4"/>
  <c r="B10" i="3"/>
  <c r="C10" i="3"/>
  <c r="D10" i="3"/>
  <c r="E10" i="3"/>
  <c r="F10" i="3"/>
</calcChain>
</file>

<file path=xl/sharedStrings.xml><?xml version="1.0" encoding="utf-8"?>
<sst xmlns="http://schemas.openxmlformats.org/spreadsheetml/2006/main" count="59" uniqueCount="50">
  <si>
    <t>No.</t>
  </si>
  <si>
    <t>焙煎豆 月次売上一覧</t>
  </si>
  <si>
    <t>商品名</t>
  </si>
  <si>
    <t>1月</t>
  </si>
  <si>
    <t>2月</t>
  </si>
  <si>
    <t>3月</t>
  </si>
  <si>
    <t>4月</t>
  </si>
  <si>
    <t>5月</t>
  </si>
  <si>
    <t>6月</t>
  </si>
  <si>
    <t>月次推移</t>
  </si>
  <si>
    <t>ブラジル サントス</t>
  </si>
  <si>
    <t>エチオピア モカ</t>
  </si>
  <si>
    <t>コロンビア スプレモ</t>
  </si>
  <si>
    <t>グアテマラ アンティグア</t>
  </si>
  <si>
    <t>ケニア AA</t>
  </si>
  <si>
    <t>マンデリン ゲイシャ</t>
  </si>
  <si>
    <t>ラテメニュー 5年度別売上比較</t>
  </si>
  <si>
    <t>メニュー名</t>
  </si>
  <si>
    <t>2019年度</t>
  </si>
  <si>
    <t>2020年度</t>
  </si>
  <si>
    <t>2021年度</t>
  </si>
  <si>
    <t>2022年度</t>
  </si>
  <si>
    <t>2023年度</t>
  </si>
  <si>
    <t>カフェラテ</t>
  </si>
  <si>
    <t>キャラメルラテ</t>
  </si>
  <si>
    <t>抹茶ラテ</t>
  </si>
  <si>
    <t>ほうじ茶ラテ</t>
  </si>
  <si>
    <t>ロイヤルミルクラテ</t>
  </si>
  <si>
    <t>アーモンドラテ</t>
  </si>
  <si>
    <t>スイーツ 下半期売上集計</t>
  </si>
  <si>
    <t>スイーツ名</t>
  </si>
  <si>
    <t>7月</t>
  </si>
  <si>
    <t>8月</t>
  </si>
  <si>
    <t>9月</t>
  </si>
  <si>
    <t>10月</t>
  </si>
  <si>
    <t>11月</t>
  </si>
  <si>
    <t>12月</t>
  </si>
  <si>
    <t>売上合計</t>
  </si>
  <si>
    <t>ショートケーキ</t>
  </si>
  <si>
    <t>ティラミス</t>
  </si>
  <si>
    <t>モンブラン</t>
  </si>
  <si>
    <t>シュークリーム</t>
  </si>
  <si>
    <t>プリンアラモード</t>
  </si>
  <si>
    <t>チーズタルト</t>
  </si>
  <si>
    <t>クッキーアソート</t>
  </si>
  <si>
    <t>駅前店 月別来客数</t>
  </si>
  <si>
    <t>月</t>
  </si>
  <si>
    <t>来客数</t>
  </si>
  <si>
    <t>合　　計</t>
    <rPh sb="0" eb="1">
      <t>ア</t>
    </rPh>
    <rPh sb="3" eb="4">
      <t>ケイ</t>
    </rPh>
    <phoneticPr fontId="1"/>
  </si>
  <si>
    <t>合　計</t>
    <rPh sb="0" eb="1">
      <t>ア</t>
    </rPh>
    <rPh sb="2" eb="3">
      <t>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</si>
</sst>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メイリオ"/>
      <family val="2"/>
      <scheme val="minor"/>
    </font>
    <font>
      <sz val="6"/>
      <name val="メイリオ"/>
      <family val="3"/>
      <charset val="128"/>
      <scheme val="minor"/>
    </font>
    <font>
      <sz val="11"/>
      <color theme="1"/>
      <name val="メイリオ"/>
      <family val="2"/>
      <scheme val="minor"/>
    </font>
    <font>
      <b/>
      <sz val="18"/>
      <color rgb="FF5C3317"/>
      <name val="ＭＳ Ｐゴシック"/>
      <family val="3"/>
      <charset val="128"/>
    </font>
    <font>
      <sz val="18"/>
      <color theme="1"/>
      <name val="メイリオ"/>
      <family val="2"/>
      <scheme val="minor"/>
    </font>
    <font>
      <b/>
      <sz val="12"/>
      <name val="ＭＳ Ｐゴシック"/>
      <family val="3"/>
      <charset val="128"/>
    </font>
    <font>
      <sz val="12"/>
      <name val="メイリオ"/>
      <family val="2"/>
      <scheme val="minor"/>
    </font>
    <font>
      <b/>
      <sz val="18"/>
      <color theme="1"/>
      <name val="ＭＳ Ｐゴシック"/>
      <family val="3"/>
      <charset val="128"/>
    </font>
    <font>
      <sz val="11"/>
      <name val="メイリオ"/>
      <family val="2"/>
      <scheme val="minor"/>
    </font>
    <font>
      <b/>
      <sz val="12"/>
      <color theme="0"/>
      <name val="ＭＳ Ｐゴシック"/>
      <family val="3"/>
      <charset val="128"/>
    </font>
    <font>
      <b/>
      <sz val="11"/>
      <color theme="1"/>
      <name val="メイリオ"/>
      <family val="3"/>
      <charset val="128"/>
      <scheme val="minor"/>
    </font>
    <font>
      <b/>
      <sz val="12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1"/>
        <bgColor theme="1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/>
      <right/>
      <top style="thin">
        <color theme="0"/>
      </top>
      <bottom style="double">
        <color indexed="64"/>
      </bottom>
      <diagonal/>
    </border>
    <border>
      <left style="thin">
        <color theme="0"/>
      </left>
      <right/>
      <top style="thin">
        <color theme="0"/>
      </top>
      <bottom style="double">
        <color indexed="64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Border="1"/>
    <xf numFmtId="0" fontId="4" fillId="0" borderId="0" xfId="0" applyFont="1" applyBorder="1"/>
    <xf numFmtId="0" fontId="0" fillId="0" borderId="0" xfId="0" applyFill="1" applyBorder="1"/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Fill="1" applyBorder="1"/>
    <xf numFmtId="0" fontId="6" fillId="0" borderId="0" xfId="0" applyFont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center" indent="1"/>
    </xf>
    <xf numFmtId="0" fontId="0" fillId="0" borderId="7" xfId="0" applyFont="1" applyBorder="1"/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 indent="1"/>
    </xf>
    <xf numFmtId="0" fontId="0" fillId="0" borderId="4" xfId="0" applyFont="1" applyBorder="1"/>
    <xf numFmtId="0" fontId="7" fillId="0" borderId="0" xfId="0" applyFont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vertical="center"/>
    </xf>
    <xf numFmtId="3" fontId="8" fillId="5" borderId="11" xfId="0" applyNumberFormat="1" applyFont="1" applyFill="1" applyBorder="1" applyAlignment="1">
      <alignment vertical="center"/>
    </xf>
    <xf numFmtId="0" fontId="8" fillId="5" borderId="12" xfId="0" applyFont="1" applyFill="1" applyBorder="1" applyAlignment="1">
      <alignment vertical="center"/>
    </xf>
    <xf numFmtId="3" fontId="8" fillId="5" borderId="1" xfId="0" applyNumberFormat="1" applyFont="1" applyFill="1" applyBorder="1" applyAlignment="1">
      <alignment vertical="center"/>
    </xf>
    <xf numFmtId="3" fontId="0" fillId="0" borderId="6" xfId="0" applyNumberFormat="1" applyFont="1" applyBorder="1" applyAlignment="1">
      <alignment vertical="center"/>
    </xf>
    <xf numFmtId="3" fontId="0" fillId="0" borderId="3" xfId="0" applyNumberFormat="1" applyFont="1" applyBorder="1" applyAlignment="1">
      <alignment vertical="center"/>
    </xf>
    <xf numFmtId="38" fontId="0" fillId="0" borderId="6" xfId="1" applyFont="1" applyBorder="1" applyAlignment="1"/>
    <xf numFmtId="38" fontId="0" fillId="0" borderId="3" xfId="1" applyFont="1" applyBorder="1" applyAlignment="1"/>
    <xf numFmtId="0" fontId="0" fillId="0" borderId="13" xfId="0" applyFont="1" applyBorder="1" applyAlignment="1">
      <alignment horizontal="left" vertical="center" indent="1"/>
    </xf>
    <xf numFmtId="3" fontId="0" fillId="0" borderId="13" xfId="0" applyNumberFormat="1" applyFont="1" applyBorder="1" applyAlignment="1">
      <alignment vertical="center"/>
    </xf>
    <xf numFmtId="3" fontId="0" fillId="0" borderId="13" xfId="0" applyNumberFormat="1" applyFill="1" applyBorder="1"/>
    <xf numFmtId="0" fontId="10" fillId="7" borderId="13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3" fontId="8" fillId="5" borderId="9" xfId="0" applyNumberFormat="1" applyFont="1" applyFill="1" applyBorder="1" applyAlignment="1">
      <alignment vertical="center"/>
    </xf>
    <xf numFmtId="0" fontId="8" fillId="5" borderId="14" xfId="0" applyFont="1" applyFill="1" applyBorder="1" applyAlignment="1">
      <alignment vertical="center"/>
    </xf>
    <xf numFmtId="3" fontId="8" fillId="5" borderId="15" xfId="0" applyNumberFormat="1" applyFont="1" applyFill="1" applyBorder="1" applyAlignment="1">
      <alignment vertical="center"/>
    </xf>
    <xf numFmtId="0" fontId="9" fillId="6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3" fontId="8" fillId="0" borderId="8" xfId="0" applyNumberFormat="1" applyFont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スイーツ下半期!$H$3</c:f>
              <c:strCache>
                <c:ptCount val="1"/>
                <c:pt idx="0">
                  <c:v>売上合計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スイーツ下半期!$A$4:$A$10</c:f>
              <c:strCache>
                <c:ptCount val="7"/>
                <c:pt idx="0">
                  <c:v>ショートケーキ</c:v>
                </c:pt>
                <c:pt idx="1">
                  <c:v>ティラミス</c:v>
                </c:pt>
                <c:pt idx="2">
                  <c:v>モンブラン</c:v>
                </c:pt>
                <c:pt idx="3">
                  <c:v>シュークリーム</c:v>
                </c:pt>
                <c:pt idx="4">
                  <c:v>プリンアラモード</c:v>
                </c:pt>
                <c:pt idx="5">
                  <c:v>チーズタルト</c:v>
                </c:pt>
                <c:pt idx="6">
                  <c:v>クッキーアソート</c:v>
                </c:pt>
              </c:strCache>
            </c:strRef>
          </c:cat>
          <c:val>
            <c:numRef>
              <c:f>スイーツ下半期!$H$4:$H$10</c:f>
              <c:numCache>
                <c:formatCode>#,##0</c:formatCode>
                <c:ptCount val="7"/>
                <c:pt idx="0">
                  <c:v>820175</c:v>
                </c:pt>
                <c:pt idx="1">
                  <c:v>692682</c:v>
                </c:pt>
                <c:pt idx="2">
                  <c:v>837819</c:v>
                </c:pt>
                <c:pt idx="3">
                  <c:v>655984</c:v>
                </c:pt>
                <c:pt idx="4">
                  <c:v>729753</c:v>
                </c:pt>
                <c:pt idx="5">
                  <c:v>798358</c:v>
                </c:pt>
                <c:pt idx="6">
                  <c:v>938986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7-45A1-8308-204D3F75E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駅前店 月別来客数推移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819444444444445E-2"/>
          <c:y val="0.13472887831467106"/>
          <c:w val="0.8121635802469136"/>
          <c:h val="0.756121779741561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駅前店売上!$C$3</c:f>
              <c:strCache>
                <c:ptCount val="1"/>
                <c:pt idx="0">
                  <c:v>来客数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駅前店売上!$B$4:$B$12</c:f>
              <c:strCache>
                <c:ptCount val="9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</c:strCache>
            </c:strRef>
          </c:cat>
          <c:val>
            <c:numRef>
              <c:f>駅前店売上!$C$4:$C$12</c:f>
              <c:numCache>
                <c:formatCode>#,##0</c:formatCode>
                <c:ptCount val="9"/>
                <c:pt idx="0">
                  <c:v>2682</c:v>
                </c:pt>
                <c:pt idx="1">
                  <c:v>2098</c:v>
                </c:pt>
                <c:pt idx="2">
                  <c:v>1766</c:v>
                </c:pt>
                <c:pt idx="3">
                  <c:v>3287</c:v>
                </c:pt>
                <c:pt idx="4">
                  <c:v>3221</c:v>
                </c:pt>
                <c:pt idx="5">
                  <c:v>1572</c:v>
                </c:pt>
                <c:pt idx="6">
                  <c:v>1392</c:v>
                </c:pt>
                <c:pt idx="7">
                  <c:v>1649</c:v>
                </c:pt>
                <c:pt idx="8">
                  <c:v>1826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4-46BC-84A2-4F6AAF068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月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来客数（人）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12</xdr:row>
      <xdr:rowOff>19050</xdr:rowOff>
    </xdr:from>
    <xdr:to>
      <xdr:col>4</xdr:col>
      <xdr:colOff>276225</xdr:colOff>
      <xdr:row>20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FEBFD4A-FCE7-E96D-6AB3-84DE37558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733425</xdr:colOff>
      <xdr:row>1</xdr:row>
      <xdr:rowOff>228599</xdr:rowOff>
    </xdr:from>
    <xdr:ext cx="6480000" cy="39719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インテグラル">
  <a:themeElements>
    <a:clrScheme name="ペーパー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インテグラル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インテグラル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abSelected="1" workbookViewId="0">
      <selection sqref="A1:I1"/>
    </sheetView>
  </sheetViews>
  <sheetFormatPr defaultRowHeight="25.5" customHeight="1" x14ac:dyDescent="0.45"/>
  <cols>
    <col min="1" max="1" width="6.109375" style="1" customWidth="1"/>
    <col min="2" max="2" width="23.21875" style="1" bestFit="1" customWidth="1"/>
    <col min="3" max="8" width="12.6640625" style="1" customWidth="1"/>
    <col min="9" max="9" width="22.109375" style="1" customWidth="1"/>
    <col min="10" max="16384" width="8.88671875" style="1"/>
  </cols>
  <sheetData>
    <row r="1" spans="1:9" ht="25.5" customHeight="1" x14ac:dyDescent="0.65">
      <c r="A1" s="17" t="s">
        <v>1</v>
      </c>
      <c r="B1" s="2"/>
      <c r="C1" s="2"/>
      <c r="D1" s="2"/>
      <c r="E1" s="2"/>
      <c r="F1" s="2"/>
      <c r="G1" s="2"/>
      <c r="H1" s="2"/>
      <c r="I1" s="2"/>
    </row>
    <row r="3" spans="1:9" s="7" customFormat="1" ht="25.5" customHeight="1" x14ac:dyDescent="0.45">
      <c r="A3" s="8" t="s">
        <v>0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10" t="s">
        <v>9</v>
      </c>
    </row>
    <row r="4" spans="1:9" s="3" customFormat="1" ht="25.5" customHeight="1" x14ac:dyDescent="0.45">
      <c r="A4" s="11">
        <v>1</v>
      </c>
      <c r="B4" s="12" t="s">
        <v>10</v>
      </c>
      <c r="C4" s="24">
        <v>247621</v>
      </c>
      <c r="D4" s="24">
        <v>109184</v>
      </c>
      <c r="E4" s="24">
        <v>86556</v>
      </c>
      <c r="F4" s="24">
        <v>152097</v>
      </c>
      <c r="G4" s="24">
        <v>144196</v>
      </c>
      <c r="H4" s="26">
        <v>138513</v>
      </c>
      <c r="I4" s="13"/>
    </row>
    <row r="5" spans="1:9" s="3" customFormat="1" ht="25.5" customHeight="1" x14ac:dyDescent="0.45">
      <c r="A5" s="11">
        <v>2</v>
      </c>
      <c r="B5" s="12" t="s">
        <v>11</v>
      </c>
      <c r="C5" s="24">
        <v>116579</v>
      </c>
      <c r="D5" s="24">
        <v>106868</v>
      </c>
      <c r="E5" s="24">
        <v>222964</v>
      </c>
      <c r="F5" s="24">
        <v>102790</v>
      </c>
      <c r="G5" s="24">
        <v>234794</v>
      </c>
      <c r="H5" s="26">
        <v>190604</v>
      </c>
      <c r="I5" s="13"/>
    </row>
    <row r="6" spans="1:9" s="3" customFormat="1" ht="25.5" customHeight="1" x14ac:dyDescent="0.45">
      <c r="A6" s="11">
        <v>3</v>
      </c>
      <c r="B6" s="12" t="s">
        <v>12</v>
      </c>
      <c r="C6" s="24">
        <v>88331</v>
      </c>
      <c r="D6" s="24">
        <v>87811</v>
      </c>
      <c r="E6" s="24">
        <v>104561</v>
      </c>
      <c r="F6" s="24">
        <v>137314</v>
      </c>
      <c r="G6" s="24">
        <v>140990</v>
      </c>
      <c r="H6" s="26">
        <v>212475</v>
      </c>
      <c r="I6" s="13"/>
    </row>
    <row r="7" spans="1:9" s="3" customFormat="1" ht="25.5" customHeight="1" x14ac:dyDescent="0.45">
      <c r="A7" s="11">
        <v>4</v>
      </c>
      <c r="B7" s="12" t="s">
        <v>13</v>
      </c>
      <c r="C7" s="24">
        <v>237815</v>
      </c>
      <c r="D7" s="24">
        <v>86956</v>
      </c>
      <c r="E7" s="24">
        <v>227127</v>
      </c>
      <c r="F7" s="24">
        <v>132124</v>
      </c>
      <c r="G7" s="24">
        <v>222853</v>
      </c>
      <c r="H7" s="26">
        <v>189974</v>
      </c>
      <c r="I7" s="13"/>
    </row>
    <row r="8" spans="1:9" s="3" customFormat="1" ht="25.5" customHeight="1" x14ac:dyDescent="0.45">
      <c r="A8" s="11">
        <v>5</v>
      </c>
      <c r="B8" s="12" t="s">
        <v>14</v>
      </c>
      <c r="C8" s="24">
        <v>137787</v>
      </c>
      <c r="D8" s="24">
        <v>197757</v>
      </c>
      <c r="E8" s="24">
        <v>234472</v>
      </c>
      <c r="F8" s="24">
        <v>152926</v>
      </c>
      <c r="G8" s="24">
        <v>81703</v>
      </c>
      <c r="H8" s="26">
        <v>121853</v>
      </c>
      <c r="I8" s="13"/>
    </row>
    <row r="9" spans="1:9" s="3" customFormat="1" ht="25.5" customHeight="1" x14ac:dyDescent="0.45">
      <c r="A9" s="14">
        <v>6</v>
      </c>
      <c r="B9" s="15" t="s">
        <v>15</v>
      </c>
      <c r="C9" s="25">
        <v>190785</v>
      </c>
      <c r="D9" s="25">
        <v>169194</v>
      </c>
      <c r="E9" s="25">
        <v>152842</v>
      </c>
      <c r="F9" s="25">
        <v>120758</v>
      </c>
      <c r="G9" s="25">
        <v>136443</v>
      </c>
      <c r="H9" s="27">
        <v>168236</v>
      </c>
      <c r="I9" s="16"/>
    </row>
  </sheetData>
  <mergeCells count="1">
    <mergeCell ref="A1:I1"/>
  </mergeCells>
  <phoneticPr fontId="1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selection activeCell="A3" sqref="A3:C9"/>
    </sheetView>
  </sheetViews>
  <sheetFormatPr defaultRowHeight="25.5" customHeight="1" x14ac:dyDescent="0.45"/>
  <cols>
    <col min="1" max="1" width="24.109375" style="3" customWidth="1"/>
    <col min="2" max="6" width="14.109375" style="3" customWidth="1"/>
    <col min="7" max="16384" width="8.88671875" style="3"/>
  </cols>
  <sheetData>
    <row r="1" spans="1:9" ht="39" customHeight="1" x14ac:dyDescent="0.65">
      <c r="A1" s="4" t="s">
        <v>16</v>
      </c>
      <c r="B1" s="5"/>
      <c r="C1" s="5"/>
      <c r="D1" s="5"/>
      <c r="E1" s="5"/>
      <c r="F1" s="5"/>
      <c r="G1" s="6"/>
      <c r="H1" s="6"/>
      <c r="I1" s="6"/>
    </row>
    <row r="3" spans="1:9" ht="25.5" customHeight="1" x14ac:dyDescent="0.45">
      <c r="A3" s="32" t="s">
        <v>17</v>
      </c>
      <c r="B3" s="32" t="s">
        <v>18</v>
      </c>
      <c r="C3" s="32" t="s">
        <v>19</v>
      </c>
      <c r="D3" s="32" t="s">
        <v>20</v>
      </c>
      <c r="E3" s="32" t="s">
        <v>21</v>
      </c>
      <c r="F3" s="32" t="s">
        <v>22</v>
      </c>
    </row>
    <row r="4" spans="1:9" ht="25.5" customHeight="1" x14ac:dyDescent="0.45">
      <c r="A4" s="28" t="s">
        <v>23</v>
      </c>
      <c r="B4" s="29">
        <v>607175</v>
      </c>
      <c r="C4" s="29">
        <v>597251</v>
      </c>
      <c r="D4" s="29">
        <v>898382</v>
      </c>
      <c r="E4" s="29">
        <v>601414</v>
      </c>
      <c r="F4" s="29">
        <v>876417</v>
      </c>
    </row>
    <row r="5" spans="1:9" ht="25.5" customHeight="1" x14ac:dyDescent="0.45">
      <c r="A5" s="28" t="s">
        <v>24</v>
      </c>
      <c r="B5" s="29">
        <v>860663</v>
      </c>
      <c r="C5" s="29">
        <v>1133052</v>
      </c>
      <c r="D5" s="29">
        <v>777370</v>
      </c>
      <c r="E5" s="29">
        <v>545561</v>
      </c>
      <c r="F5" s="29">
        <v>981741</v>
      </c>
    </row>
    <row r="6" spans="1:9" ht="25.5" customHeight="1" x14ac:dyDescent="0.45">
      <c r="A6" s="28" t="s">
        <v>25</v>
      </c>
      <c r="B6" s="29">
        <v>1062275</v>
      </c>
      <c r="C6" s="29">
        <v>630889</v>
      </c>
      <c r="D6" s="29">
        <v>896922</v>
      </c>
      <c r="E6" s="29">
        <v>582627</v>
      </c>
      <c r="F6" s="29">
        <v>1078856</v>
      </c>
    </row>
    <row r="7" spans="1:9" ht="25.5" customHeight="1" x14ac:dyDescent="0.45">
      <c r="A7" s="28" t="s">
        <v>26</v>
      </c>
      <c r="B7" s="29">
        <v>807419</v>
      </c>
      <c r="C7" s="29">
        <v>1159176</v>
      </c>
      <c r="D7" s="29">
        <v>1148564</v>
      </c>
      <c r="E7" s="29">
        <v>879201</v>
      </c>
      <c r="F7" s="29">
        <v>1105397</v>
      </c>
    </row>
    <row r="8" spans="1:9" ht="25.5" customHeight="1" x14ac:dyDescent="0.45">
      <c r="A8" s="28" t="s">
        <v>27</v>
      </c>
      <c r="B8" s="29">
        <v>701629</v>
      </c>
      <c r="C8" s="29">
        <v>572933</v>
      </c>
      <c r="D8" s="29">
        <v>548050</v>
      </c>
      <c r="E8" s="29">
        <v>1193384</v>
      </c>
      <c r="F8" s="29">
        <v>738968</v>
      </c>
    </row>
    <row r="9" spans="1:9" ht="25.5" customHeight="1" x14ac:dyDescent="0.45">
      <c r="A9" s="28" t="s">
        <v>28</v>
      </c>
      <c r="B9" s="29">
        <v>803445</v>
      </c>
      <c r="C9" s="29">
        <v>583667</v>
      </c>
      <c r="D9" s="29">
        <v>744098</v>
      </c>
      <c r="E9" s="29">
        <v>605907</v>
      </c>
      <c r="F9" s="29">
        <v>898591</v>
      </c>
    </row>
    <row r="10" spans="1:9" ht="25.5" customHeight="1" x14ac:dyDescent="0.45">
      <c r="A10" s="31" t="s">
        <v>48</v>
      </c>
      <c r="B10" s="30">
        <f t="shared" ref="B10:F10" si="0">SUM(B4:B9)</f>
        <v>4842606</v>
      </c>
      <c r="C10" s="30">
        <f t="shared" si="0"/>
        <v>4676968</v>
      </c>
      <c r="D10" s="30">
        <f t="shared" si="0"/>
        <v>5013386</v>
      </c>
      <c r="E10" s="30">
        <f t="shared" si="0"/>
        <v>4408094</v>
      </c>
      <c r="F10" s="30">
        <f t="shared" si="0"/>
        <v>5679970</v>
      </c>
    </row>
  </sheetData>
  <mergeCells count="1">
    <mergeCell ref="A1:F1"/>
  </mergeCells>
  <phoneticPr fontId="1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activeCell="G6" sqref="G6"/>
    </sheetView>
  </sheetViews>
  <sheetFormatPr defaultRowHeight="25.5" customHeight="1" x14ac:dyDescent="0.45"/>
  <cols>
    <col min="1" max="1" width="20.109375" style="3" customWidth="1"/>
    <col min="2" max="7" width="10.109375" style="3" customWidth="1"/>
    <col min="8" max="8" width="14.109375" style="3" customWidth="1"/>
    <col min="9" max="16384" width="8.88671875" style="3"/>
  </cols>
  <sheetData>
    <row r="1" spans="1:9" ht="25.5" customHeight="1" x14ac:dyDescent="0.65">
      <c r="A1" s="4" t="s">
        <v>29</v>
      </c>
      <c r="B1" s="5"/>
      <c r="C1" s="5"/>
      <c r="D1" s="5"/>
      <c r="E1" s="5"/>
      <c r="F1" s="5"/>
      <c r="G1" s="5"/>
      <c r="H1" s="5"/>
      <c r="I1" s="6"/>
    </row>
    <row r="3" spans="1:9" ht="25.5" customHeight="1" thickBot="1" x14ac:dyDescent="0.5">
      <c r="A3" s="18" t="s">
        <v>30</v>
      </c>
      <c r="B3" s="19" t="s">
        <v>31</v>
      </c>
      <c r="C3" s="19" t="s">
        <v>32</v>
      </c>
      <c r="D3" s="19" t="s">
        <v>33</v>
      </c>
      <c r="E3" s="19" t="s">
        <v>34</v>
      </c>
      <c r="F3" s="19" t="s">
        <v>35</v>
      </c>
      <c r="G3" s="19" t="s">
        <v>36</v>
      </c>
      <c r="H3" s="19" t="s">
        <v>37</v>
      </c>
    </row>
    <row r="4" spans="1:9" ht="25.5" customHeight="1" thickTop="1" x14ac:dyDescent="0.45">
      <c r="A4" s="20" t="s">
        <v>38</v>
      </c>
      <c r="B4" s="21">
        <v>122869</v>
      </c>
      <c r="C4" s="21">
        <v>168858</v>
      </c>
      <c r="D4" s="21">
        <v>145638</v>
      </c>
      <c r="E4" s="21">
        <v>92638</v>
      </c>
      <c r="F4" s="21">
        <v>147040</v>
      </c>
      <c r="G4" s="21">
        <v>143132</v>
      </c>
      <c r="H4" s="21">
        <v>820175</v>
      </c>
    </row>
    <row r="5" spans="1:9" ht="25.5" customHeight="1" x14ac:dyDescent="0.45">
      <c r="A5" s="22" t="s">
        <v>39</v>
      </c>
      <c r="B5" s="23">
        <v>104921</v>
      </c>
      <c r="C5" s="23">
        <v>119986</v>
      </c>
      <c r="D5" s="23">
        <v>68717</v>
      </c>
      <c r="E5" s="23">
        <v>94862</v>
      </c>
      <c r="F5" s="23">
        <v>190021</v>
      </c>
      <c r="G5" s="23">
        <v>114175</v>
      </c>
      <c r="H5" s="23">
        <v>692682</v>
      </c>
    </row>
    <row r="6" spans="1:9" ht="25.5" customHeight="1" x14ac:dyDescent="0.45">
      <c r="A6" s="22" t="s">
        <v>40</v>
      </c>
      <c r="B6" s="23">
        <v>92834</v>
      </c>
      <c r="C6" s="23">
        <v>171178</v>
      </c>
      <c r="D6" s="23">
        <v>149471</v>
      </c>
      <c r="E6" s="23">
        <v>120765</v>
      </c>
      <c r="F6" s="23">
        <v>196001</v>
      </c>
      <c r="G6" s="23">
        <v>107570</v>
      </c>
      <c r="H6" s="23">
        <v>837819</v>
      </c>
    </row>
    <row r="7" spans="1:9" ht="25.5" customHeight="1" x14ac:dyDescent="0.45">
      <c r="A7" s="22" t="s">
        <v>41</v>
      </c>
      <c r="B7" s="23">
        <v>135008</v>
      </c>
      <c r="C7" s="23">
        <v>64663</v>
      </c>
      <c r="D7" s="23">
        <v>110043</v>
      </c>
      <c r="E7" s="23">
        <v>58414</v>
      </c>
      <c r="F7" s="23">
        <v>132694</v>
      </c>
      <c r="G7" s="23">
        <v>155162</v>
      </c>
      <c r="H7" s="23">
        <v>655984</v>
      </c>
    </row>
    <row r="8" spans="1:9" ht="25.5" customHeight="1" x14ac:dyDescent="0.45">
      <c r="A8" s="22" t="s">
        <v>42</v>
      </c>
      <c r="B8" s="23">
        <v>120186</v>
      </c>
      <c r="C8" s="23">
        <v>67350</v>
      </c>
      <c r="D8" s="23">
        <v>105307</v>
      </c>
      <c r="E8" s="23">
        <v>198682</v>
      </c>
      <c r="F8" s="23">
        <v>132490</v>
      </c>
      <c r="G8" s="23">
        <v>105738</v>
      </c>
      <c r="H8" s="23">
        <v>729753</v>
      </c>
    </row>
    <row r="9" spans="1:9" ht="25.5" customHeight="1" x14ac:dyDescent="0.45">
      <c r="A9" s="22" t="s">
        <v>43</v>
      </c>
      <c r="B9" s="23">
        <v>180870</v>
      </c>
      <c r="C9" s="23">
        <v>153712</v>
      </c>
      <c r="D9" s="23">
        <v>170285</v>
      </c>
      <c r="E9" s="23">
        <v>87452</v>
      </c>
      <c r="F9" s="23">
        <v>119436</v>
      </c>
      <c r="G9" s="23">
        <v>86603</v>
      </c>
      <c r="H9" s="23">
        <v>798358</v>
      </c>
    </row>
    <row r="10" spans="1:9" ht="25.5" customHeight="1" thickBot="1" x14ac:dyDescent="0.5">
      <c r="A10" s="35" t="s">
        <v>44</v>
      </c>
      <c r="B10" s="36">
        <v>114651</v>
      </c>
      <c r="C10" s="36">
        <v>197159</v>
      </c>
      <c r="D10" s="36">
        <v>191289</v>
      </c>
      <c r="E10" s="36">
        <v>118876</v>
      </c>
      <c r="F10" s="36">
        <v>162311</v>
      </c>
      <c r="G10" s="36">
        <v>154700</v>
      </c>
      <c r="H10" s="36">
        <v>938986</v>
      </c>
    </row>
    <row r="11" spans="1:9" ht="25.5" customHeight="1" thickTop="1" x14ac:dyDescent="0.45">
      <c r="A11" s="33" t="s">
        <v>49</v>
      </c>
      <c r="B11" s="34">
        <f>SUM(B4:B10)</f>
        <v>871339</v>
      </c>
      <c r="C11" s="34">
        <f t="shared" ref="C11:H11" si="0">SUM(C4:C10)</f>
        <v>942906</v>
      </c>
      <c r="D11" s="34">
        <f t="shared" si="0"/>
        <v>940750</v>
      </c>
      <c r="E11" s="34">
        <f t="shared" si="0"/>
        <v>771689</v>
      </c>
      <c r="F11" s="34">
        <f t="shared" si="0"/>
        <v>1079993</v>
      </c>
      <c r="G11" s="34">
        <f t="shared" si="0"/>
        <v>867080</v>
      </c>
      <c r="H11" s="34">
        <f t="shared" si="0"/>
        <v>5473757</v>
      </c>
    </row>
  </sheetData>
  <mergeCells count="1">
    <mergeCell ref="A1:H1"/>
  </mergeCells>
  <phoneticPr fontId="1"/>
  <pageMargins left="0.75" right="0.75" top="1" bottom="1" header="0.5" footer="0.5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>
      <selection sqref="A1:C1"/>
    </sheetView>
  </sheetViews>
  <sheetFormatPr defaultRowHeight="25.5" customHeight="1" x14ac:dyDescent="0.45"/>
  <cols>
    <col min="1" max="1" width="2.77734375" style="3" customWidth="1"/>
    <col min="2" max="2" width="12" style="3" customWidth="1"/>
    <col min="3" max="3" width="14.109375" style="3" customWidth="1"/>
    <col min="4" max="16384" width="8.88671875" style="3"/>
  </cols>
  <sheetData>
    <row r="1" spans="1:9" ht="25.5" customHeight="1" x14ac:dyDescent="0.65">
      <c r="A1" s="4" t="s">
        <v>45</v>
      </c>
      <c r="B1" s="5"/>
      <c r="C1" s="5"/>
      <c r="D1" s="6"/>
      <c r="E1" s="6"/>
      <c r="F1" s="6"/>
      <c r="G1" s="6"/>
      <c r="H1" s="6"/>
      <c r="I1" s="6"/>
    </row>
    <row r="3" spans="1:9" ht="25.5" customHeight="1" x14ac:dyDescent="0.45">
      <c r="B3" s="37" t="s">
        <v>46</v>
      </c>
      <c r="C3" s="37" t="s">
        <v>47</v>
      </c>
    </row>
    <row r="4" spans="1:9" ht="25.5" customHeight="1" x14ac:dyDescent="0.45">
      <c r="B4" s="38" t="s">
        <v>3</v>
      </c>
      <c r="C4" s="39">
        <v>2682</v>
      </c>
    </row>
    <row r="5" spans="1:9" ht="25.5" customHeight="1" x14ac:dyDescent="0.45">
      <c r="B5" s="38" t="s">
        <v>4</v>
      </c>
      <c r="C5" s="39">
        <v>2098</v>
      </c>
    </row>
    <row r="6" spans="1:9" ht="25.5" customHeight="1" x14ac:dyDescent="0.45">
      <c r="B6" s="38" t="s">
        <v>5</v>
      </c>
      <c r="C6" s="39">
        <v>1766</v>
      </c>
    </row>
    <row r="7" spans="1:9" ht="25.5" customHeight="1" x14ac:dyDescent="0.45">
      <c r="B7" s="38" t="s">
        <v>6</v>
      </c>
      <c r="C7" s="39">
        <v>3287</v>
      </c>
    </row>
    <row r="8" spans="1:9" ht="25.5" customHeight="1" x14ac:dyDescent="0.45">
      <c r="B8" s="38" t="s">
        <v>7</v>
      </c>
      <c r="C8" s="39">
        <v>3221</v>
      </c>
    </row>
    <row r="9" spans="1:9" ht="25.5" customHeight="1" x14ac:dyDescent="0.45">
      <c r="B9" s="38" t="s">
        <v>8</v>
      </c>
      <c r="C9" s="39">
        <v>1572</v>
      </c>
    </row>
    <row r="10" spans="1:9" ht="25.5" customHeight="1" x14ac:dyDescent="0.45">
      <c r="B10" s="38" t="s">
        <v>31</v>
      </c>
      <c r="C10" s="39">
        <v>1392</v>
      </c>
    </row>
    <row r="11" spans="1:9" ht="25.5" customHeight="1" x14ac:dyDescent="0.45">
      <c r="B11" s="38" t="s">
        <v>32</v>
      </c>
      <c r="C11" s="39">
        <v>1649</v>
      </c>
    </row>
    <row r="12" spans="1:9" ht="25.5" customHeight="1" x14ac:dyDescent="0.45">
      <c r="B12" s="38" t="s">
        <v>33</v>
      </c>
      <c r="C12" s="39">
        <v>1826</v>
      </c>
    </row>
  </sheetData>
  <mergeCells count="1">
    <mergeCell ref="A1:C1"/>
  </mergeCells>
  <phoneticPr fontId="1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焙煎豆売上</vt:lpstr>
      <vt:lpstr>ラテ5年比較</vt:lpstr>
      <vt:lpstr>スイーツ下半期</vt:lpstr>
      <vt:lpstr>駅前店売上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2026-06-25T03:38:57Z</dcterms:created>
  <dcterms:modified xsi:type="dcterms:W3CDTF">2026-07-05T04:48:39Z</dcterms:modified>
</cp:coreProperties>
</file>