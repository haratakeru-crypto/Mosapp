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F9D4B525-7F94-40BF-8669-D49B2CF4E17C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ツアー予約月次" sheetId="2" r:id="rId1"/>
    <sheet name="企画5年推移" sheetId="3" r:id="rId2"/>
    <sheet name="宿泊プラン" sheetId="4" r:id="rId3"/>
    <sheet name="銀座支店売上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I11" i="4"/>
</calcChain>
</file>

<file path=xl/sharedStrings.xml><?xml version="1.0" encoding="utf-8"?>
<sst xmlns="http://schemas.openxmlformats.org/spreadsheetml/2006/main" count="70" uniqueCount="54">
  <si>
    <t>No.</t>
  </si>
  <si>
    <t>ツアー予約 月次推移（前月比増減）</t>
  </si>
  <si>
    <t>目的地</t>
  </si>
  <si>
    <t>区分</t>
  </si>
  <si>
    <t>1月</t>
  </si>
  <si>
    <t>2月</t>
  </si>
  <si>
    <t>3月</t>
  </si>
  <si>
    <t>予約推移</t>
  </si>
  <si>
    <t>5月</t>
  </si>
  <si>
    <t>6月</t>
  </si>
  <si>
    <t>屋久島</t>
  </si>
  <si>
    <t>前月比</t>
  </si>
  <si>
    <t>北海道</t>
  </si>
  <si>
    <t>沖縄</t>
  </si>
  <si>
    <t>京都</t>
  </si>
  <si>
    <t>パリ</t>
  </si>
  <si>
    <t>ハワイ</t>
  </si>
  <si>
    <t>ツアー企画 5年度売上比較</t>
  </si>
  <si>
    <t>企画名</t>
  </si>
  <si>
    <t>2019年度</t>
  </si>
  <si>
    <t>2020年度</t>
  </si>
  <si>
    <t>2021年度</t>
  </si>
  <si>
    <t>2022年度</t>
  </si>
  <si>
    <t>2023年度</t>
  </si>
  <si>
    <t>シニア向けプラン</t>
  </si>
  <si>
    <t>女子旅プラン</t>
  </si>
  <si>
    <t>学生団体</t>
  </si>
  <si>
    <t>ハネムーン</t>
  </si>
  <si>
    <t>ビジネス出張</t>
  </si>
  <si>
    <t>宿泊プラン 月次売上集計</t>
  </si>
  <si>
    <t>プラン名</t>
  </si>
  <si>
    <t>4月</t>
  </si>
  <si>
    <t>売上合計</t>
  </si>
  <si>
    <t>スタンダードプラン</t>
  </si>
  <si>
    <t>デラックスプラン</t>
  </si>
  <si>
    <t>スイートプラン</t>
  </si>
  <si>
    <t>和室プラン</t>
  </si>
  <si>
    <t>カプセル</t>
  </si>
  <si>
    <t>ゲストハウス</t>
  </si>
  <si>
    <t>コテージ</t>
  </si>
  <si>
    <t>月</t>
  </si>
  <si>
    <t>個人</t>
  </si>
  <si>
    <t>法人</t>
  </si>
  <si>
    <t>団体</t>
  </si>
  <si>
    <t>7月</t>
  </si>
  <si>
    <t>8月</t>
  </si>
  <si>
    <t>9月</t>
  </si>
  <si>
    <t>10月</t>
  </si>
  <si>
    <t>11月</t>
  </si>
  <si>
    <t>12月</t>
  </si>
  <si>
    <t>家族向けプラン</t>
    <phoneticPr fontId="3"/>
  </si>
  <si>
    <t>銀座支店 月次予約実績</t>
    <phoneticPr fontId="3"/>
  </si>
  <si>
    <t>集計</t>
  </si>
  <si>
    <t>合計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</si>
</sst>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4"/>
      <color theme="1"/>
      <name val="BIZ UDPゴシック"/>
      <family val="3"/>
      <charset val="128"/>
    </font>
    <font>
      <sz val="16"/>
      <color theme="9"/>
      <name val="HGP創英角ｺﾞｼｯｸUB"/>
      <family val="3"/>
      <charset val="128"/>
    </font>
    <font>
      <sz val="16"/>
      <color theme="1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double">
        <color theme="7"/>
      </top>
      <bottom style="thin">
        <color theme="7"/>
      </bottom>
      <diagonal/>
    </border>
    <border>
      <left/>
      <right/>
      <top style="double">
        <color theme="7"/>
      </top>
      <bottom style="thin">
        <color theme="7"/>
      </bottom>
      <diagonal/>
    </border>
    <border>
      <left/>
      <right style="thin">
        <color theme="7"/>
      </right>
      <top style="double">
        <color theme="7"/>
      </top>
      <bottom style="thin">
        <color theme="7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38" fontId="0" fillId="0" borderId="4" xfId="1" applyFont="1" applyBorder="1" applyAlignment="1">
      <alignment vertical="center"/>
    </xf>
    <xf numFmtId="38" fontId="0" fillId="0" borderId="5" xfId="1" applyFont="1" applyBorder="1" applyAlignment="1">
      <alignment vertical="center"/>
    </xf>
    <xf numFmtId="38" fontId="5" fillId="0" borderId="7" xfId="1" applyFont="1" applyBorder="1" applyAlignment="1">
      <alignment vertical="center"/>
    </xf>
    <xf numFmtId="38" fontId="5" fillId="0" borderId="8" xfId="1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6" borderId="12" xfId="0" applyFill="1" applyBorder="1" applyAlignment="1">
      <alignment vertical="center"/>
    </xf>
    <xf numFmtId="38" fontId="0" fillId="6" borderId="12" xfId="1" applyFont="1" applyFill="1" applyBorder="1" applyAlignment="1">
      <alignment vertical="center"/>
    </xf>
    <xf numFmtId="38" fontId="0" fillId="6" borderId="13" xfId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38" fontId="0" fillId="0" borderId="10" xfId="1" applyFont="1" applyBorder="1" applyAlignment="1">
      <alignment vertical="center"/>
    </xf>
    <xf numFmtId="38" fontId="0" fillId="0" borderId="11" xfId="1" applyFont="1" applyBorder="1" applyAlignment="1">
      <alignment vertical="center"/>
    </xf>
    <xf numFmtId="0" fontId="0" fillId="6" borderId="10" xfId="0" applyFill="1" applyBorder="1" applyAlignment="1">
      <alignment vertical="center"/>
    </xf>
    <xf numFmtId="38" fontId="0" fillId="6" borderId="10" xfId="1" applyFont="1" applyFill="1" applyBorder="1" applyAlignment="1">
      <alignment vertical="center"/>
    </xf>
    <xf numFmtId="38" fontId="0" fillId="6" borderId="11" xfId="1" applyFont="1" applyFill="1" applyBorder="1" applyAlignment="1">
      <alignment vertical="center"/>
    </xf>
    <xf numFmtId="0" fontId="5" fillId="0" borderId="14" xfId="0" applyFont="1" applyBorder="1" applyAlignment="1">
      <alignment vertical="center"/>
    </xf>
    <xf numFmtId="38" fontId="5" fillId="0" borderId="9" xfId="0" applyNumberFormat="1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6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銀座支店 月次予約実績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84358332759427"/>
          <c:y val="0.1279462250317302"/>
          <c:w val="0.75861114299488064"/>
          <c:h val="0.698107771739800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銀座支店売上!$C$3</c:f>
              <c:strCache>
                <c:ptCount val="1"/>
                <c:pt idx="0">
                  <c:v>個人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銀座支店売上!$B$4:$B$15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銀座支店売上!$C$4:$C$15</c:f>
              <c:numCache>
                <c:formatCode>General</c:formatCode>
                <c:ptCount val="12"/>
                <c:pt idx="0">
                  <c:v>380</c:v>
                </c:pt>
                <c:pt idx="1">
                  <c:v>251</c:v>
                </c:pt>
                <c:pt idx="2">
                  <c:v>324</c:v>
                </c:pt>
                <c:pt idx="3">
                  <c:v>675</c:v>
                </c:pt>
                <c:pt idx="4">
                  <c:v>524</c:v>
                </c:pt>
                <c:pt idx="5">
                  <c:v>636</c:v>
                </c:pt>
                <c:pt idx="6">
                  <c:v>362</c:v>
                </c:pt>
                <c:pt idx="7">
                  <c:v>465</c:v>
                </c:pt>
                <c:pt idx="8">
                  <c:v>733</c:v>
                </c:pt>
                <c:pt idx="9">
                  <c:v>481</c:v>
                </c:pt>
                <c:pt idx="10">
                  <c:v>492</c:v>
                </c:pt>
                <c:pt idx="11">
                  <c:v>543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29A-4607-B5BF-EC07DDE7FE92}"/>
            </c:ext>
          </c:extLst>
        </c:ser>
        <c:ser>
          <c:idx val="1"/>
          <c:order val="1"/>
          <c:tx>
            <c:strRef>
              <c:f>銀座支店売上!$D$3</c:f>
              <c:strCache>
                <c:ptCount val="1"/>
                <c:pt idx="0">
                  <c:v>法人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delete val="1"/>
          </c:dLbls>
          <c:cat>
            <c:strRef>
              <c:f>銀座支店売上!$B$4:$B$15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銀座支店売上!$D$4:$D$15</c:f>
              <c:numCache>
                <c:formatCode>General</c:formatCode>
                <c:ptCount val="12"/>
                <c:pt idx="0">
                  <c:v>365</c:v>
                </c:pt>
                <c:pt idx="1">
                  <c:v>385</c:v>
                </c:pt>
                <c:pt idx="2">
                  <c:v>333</c:v>
                </c:pt>
                <c:pt idx="3">
                  <c:v>371</c:v>
                </c:pt>
                <c:pt idx="4">
                  <c:v>326</c:v>
                </c:pt>
                <c:pt idx="5">
                  <c:v>380</c:v>
                </c:pt>
                <c:pt idx="6">
                  <c:v>343</c:v>
                </c:pt>
                <c:pt idx="7">
                  <c:v>226</c:v>
                </c:pt>
                <c:pt idx="8">
                  <c:v>348</c:v>
                </c:pt>
                <c:pt idx="9">
                  <c:v>325</c:v>
                </c:pt>
                <c:pt idx="10">
                  <c:v>220</c:v>
                </c:pt>
                <c:pt idx="11">
                  <c:v>263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29A-4607-B5BF-EC07DDE7FE92}"/>
            </c:ext>
          </c:extLst>
        </c:ser>
        <c:ser>
          <c:idx val="2"/>
          <c:order val="2"/>
          <c:tx>
            <c:strRef>
              <c:f>銀座支店売上!$E$3</c:f>
              <c:strCache>
                <c:ptCount val="1"/>
                <c:pt idx="0">
                  <c:v>団体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delete val="1"/>
          </c:dLbls>
          <c:cat>
            <c:strRef>
              <c:f>銀座支店売上!$B$4:$B$15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銀座支店売上!$E$4:$E$15</c:f>
              <c:numCache>
                <c:formatCode>General</c:formatCode>
                <c:ptCount val="12"/>
                <c:pt idx="0">
                  <c:v>168</c:v>
                </c:pt>
                <c:pt idx="1">
                  <c:v>113</c:v>
                </c:pt>
                <c:pt idx="2">
                  <c:v>84</c:v>
                </c:pt>
                <c:pt idx="3">
                  <c:v>193</c:v>
                </c:pt>
                <c:pt idx="4">
                  <c:v>179</c:v>
                </c:pt>
                <c:pt idx="5">
                  <c:v>164</c:v>
                </c:pt>
                <c:pt idx="6">
                  <c:v>165</c:v>
                </c:pt>
                <c:pt idx="7">
                  <c:v>120</c:v>
                </c:pt>
                <c:pt idx="8">
                  <c:v>111</c:v>
                </c:pt>
                <c:pt idx="9">
                  <c:v>69</c:v>
                </c:pt>
                <c:pt idx="10">
                  <c:v>119</c:v>
                </c:pt>
                <c:pt idx="11">
                  <c:v>188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029A-4607-B5BF-EC07DDE7FE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1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17</xdr:row>
      <xdr:rowOff>95250</xdr:rowOff>
    </xdr:from>
    <xdr:ext cx="6534150" cy="4057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"/>
  <sheetViews>
    <sheetView workbookViewId="0"/>
  </sheetViews>
  <sheetFormatPr defaultRowHeight="15.75" customHeight="1" x14ac:dyDescent="0.4"/>
  <cols>
    <col min="1" max="1" width="3" style="1" customWidth="1"/>
    <col min="2" max="2" width="12" style="1" customWidth="1"/>
    <col min="3" max="3" width="14" style="1" customWidth="1"/>
    <col min="4" max="4" width="12" style="1" customWidth="1"/>
    <col min="5" max="9" width="10" style="1" customWidth="1"/>
    <col min="10" max="10" width="22.5" style="1" customWidth="1"/>
    <col min="11" max="16384" width="9" style="1"/>
  </cols>
  <sheetData>
    <row r="2" spans="2:10" ht="29.25" customHeight="1" x14ac:dyDescent="0.4">
      <c r="B2" s="31" t="s">
        <v>1</v>
      </c>
    </row>
    <row r="3" spans="2:10" ht="19.5" thickBot="1" x14ac:dyDescent="0.45"/>
    <row r="4" spans="2:10" s="2" customFormat="1" ht="22.5" customHeight="1" thickBot="1" x14ac:dyDescent="0.45">
      <c r="B4" s="28" t="s">
        <v>0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8</v>
      </c>
      <c r="I4" s="28" t="s">
        <v>9</v>
      </c>
      <c r="J4" s="28" t="s">
        <v>7</v>
      </c>
    </row>
    <row r="5" spans="2:10" ht="22.5" customHeight="1" x14ac:dyDescent="0.4">
      <c r="B5" s="29">
        <v>1</v>
      </c>
      <c r="C5" s="29" t="s">
        <v>10</v>
      </c>
      <c r="D5" s="29" t="s">
        <v>11</v>
      </c>
      <c r="E5" s="29">
        <v>-7</v>
      </c>
      <c r="F5" s="29">
        <v>28</v>
      </c>
      <c r="G5" s="29">
        <v>-27</v>
      </c>
      <c r="H5" s="29">
        <v>-47</v>
      </c>
      <c r="I5" s="29">
        <v>-27</v>
      </c>
      <c r="J5" s="29"/>
    </row>
    <row r="6" spans="2:10" ht="22.5" customHeight="1" x14ac:dyDescent="0.4">
      <c r="B6" s="1">
        <v>2</v>
      </c>
      <c r="C6" s="1" t="s">
        <v>12</v>
      </c>
      <c r="D6" s="1" t="s">
        <v>11</v>
      </c>
      <c r="E6" s="1">
        <v>44</v>
      </c>
      <c r="F6" s="1">
        <v>-20</v>
      </c>
      <c r="G6" s="1">
        <v>-56</v>
      </c>
      <c r="H6" s="1">
        <v>-16</v>
      </c>
      <c r="I6" s="1">
        <v>55</v>
      </c>
    </row>
    <row r="7" spans="2:10" ht="22.5" customHeight="1" x14ac:dyDescent="0.4">
      <c r="B7" s="30">
        <v>3</v>
      </c>
      <c r="C7" s="30" t="s">
        <v>13</v>
      </c>
      <c r="D7" s="30" t="s">
        <v>11</v>
      </c>
      <c r="E7" s="30">
        <v>56</v>
      </c>
      <c r="F7" s="30">
        <v>-22</v>
      </c>
      <c r="G7" s="30">
        <v>-55</v>
      </c>
      <c r="H7" s="30">
        <v>-59</v>
      </c>
      <c r="I7" s="30">
        <v>19</v>
      </c>
      <c r="J7" s="30"/>
    </row>
    <row r="8" spans="2:10" ht="22.5" customHeight="1" x14ac:dyDescent="0.4">
      <c r="B8" s="1">
        <v>4</v>
      </c>
      <c r="C8" s="1" t="s">
        <v>14</v>
      </c>
      <c r="D8" s="1" t="s">
        <v>11</v>
      </c>
      <c r="E8" s="1">
        <v>-57</v>
      </c>
      <c r="F8" s="1">
        <v>27</v>
      </c>
      <c r="G8" s="1">
        <v>57</v>
      </c>
      <c r="H8" s="1">
        <v>-47</v>
      </c>
      <c r="I8" s="1">
        <v>-30</v>
      </c>
    </row>
    <row r="9" spans="2:10" ht="22.5" customHeight="1" x14ac:dyDescent="0.4">
      <c r="B9" s="30">
        <v>5</v>
      </c>
      <c r="C9" s="30" t="s">
        <v>15</v>
      </c>
      <c r="D9" s="30" t="s">
        <v>11</v>
      </c>
      <c r="E9" s="30">
        <v>22</v>
      </c>
      <c r="F9" s="30">
        <v>-54</v>
      </c>
      <c r="G9" s="30">
        <v>27</v>
      </c>
      <c r="H9" s="30">
        <v>6</v>
      </c>
      <c r="I9" s="30">
        <v>-21</v>
      </c>
      <c r="J9" s="30"/>
    </row>
    <row r="10" spans="2:10" ht="22.5" customHeight="1" thickBot="1" x14ac:dyDescent="0.45">
      <c r="B10" s="5">
        <v>6</v>
      </c>
      <c r="C10" s="5" t="s">
        <v>16</v>
      </c>
      <c r="D10" s="5" t="s">
        <v>11</v>
      </c>
      <c r="E10" s="5">
        <v>-42</v>
      </c>
      <c r="F10" s="5">
        <v>7</v>
      </c>
      <c r="G10" s="5">
        <v>-43</v>
      </c>
      <c r="H10" s="5">
        <v>32</v>
      </c>
      <c r="I10" s="5">
        <v>-29</v>
      </c>
      <c r="J10" s="5"/>
    </row>
  </sheetData>
  <phoneticPr fontId="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"/>
  <sheetViews>
    <sheetView workbookViewId="0"/>
  </sheetViews>
  <sheetFormatPr defaultRowHeight="15.75" customHeight="1" x14ac:dyDescent="0.4"/>
  <cols>
    <col min="1" max="1" width="20" style="1" customWidth="1"/>
    <col min="2" max="6" width="14" style="1" customWidth="1"/>
    <col min="7" max="16384" width="9" style="1"/>
  </cols>
  <sheetData>
    <row r="2" spans="1:6" ht="29.25" customHeight="1" x14ac:dyDescent="0.4">
      <c r="A2" s="32" t="s">
        <v>17</v>
      </c>
    </row>
    <row r="3" spans="1:6" s="2" customFormat="1" ht="24" customHeight="1" thickBot="1" x14ac:dyDescent="0.45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5" t="s">
        <v>23</v>
      </c>
    </row>
    <row r="4" spans="1:6" s="2" customFormat="1" ht="22.5" customHeight="1" x14ac:dyDescent="0.4">
      <c r="A4" s="16" t="s">
        <v>50</v>
      </c>
      <c r="B4" s="17">
        <v>6188992</v>
      </c>
      <c r="C4" s="17">
        <v>7273534</v>
      </c>
      <c r="D4" s="17">
        <v>3744682</v>
      </c>
      <c r="E4" s="17">
        <v>10315831</v>
      </c>
      <c r="F4" s="18">
        <v>3028374</v>
      </c>
    </row>
    <row r="5" spans="1:6" ht="22.5" customHeight="1" x14ac:dyDescent="0.4">
      <c r="A5" s="19" t="s">
        <v>24</v>
      </c>
      <c r="B5" s="20">
        <v>11722815</v>
      </c>
      <c r="C5" s="20">
        <v>6305700</v>
      </c>
      <c r="D5" s="20">
        <v>9110622</v>
      </c>
      <c r="E5" s="20">
        <v>10235969</v>
      </c>
      <c r="F5" s="21">
        <v>4173965</v>
      </c>
    </row>
    <row r="6" spans="1:6" ht="22.5" customHeight="1" x14ac:dyDescent="0.4">
      <c r="A6" s="22" t="s">
        <v>25</v>
      </c>
      <c r="B6" s="23">
        <v>8539837</v>
      </c>
      <c r="C6" s="23">
        <v>8266630</v>
      </c>
      <c r="D6" s="23">
        <v>5090865</v>
      </c>
      <c r="E6" s="23">
        <v>8038571</v>
      </c>
      <c r="F6" s="24">
        <v>11508103</v>
      </c>
    </row>
    <row r="7" spans="1:6" ht="22.5" customHeight="1" x14ac:dyDescent="0.4">
      <c r="A7" s="19" t="s">
        <v>26</v>
      </c>
      <c r="B7" s="20">
        <v>8188935</v>
      </c>
      <c r="C7" s="20">
        <v>9851696</v>
      </c>
      <c r="D7" s="20">
        <v>8472441</v>
      </c>
      <c r="E7" s="20">
        <v>9751158</v>
      </c>
      <c r="F7" s="21">
        <v>7960271</v>
      </c>
    </row>
    <row r="8" spans="1:6" ht="22.5" customHeight="1" x14ac:dyDescent="0.4">
      <c r="A8" s="22" t="s">
        <v>27</v>
      </c>
      <c r="B8" s="23">
        <v>5135534</v>
      </c>
      <c r="C8" s="23">
        <v>6218542</v>
      </c>
      <c r="D8" s="23">
        <v>10053918</v>
      </c>
      <c r="E8" s="23">
        <v>9361002</v>
      </c>
      <c r="F8" s="24">
        <v>5919694</v>
      </c>
    </row>
    <row r="9" spans="1:6" ht="22.5" customHeight="1" thickBot="1" x14ac:dyDescent="0.45">
      <c r="A9" s="19" t="s">
        <v>28</v>
      </c>
      <c r="B9" s="20">
        <v>8049101</v>
      </c>
      <c r="C9" s="20">
        <v>9812810</v>
      </c>
      <c r="D9" s="20">
        <v>3006810</v>
      </c>
      <c r="E9" s="20">
        <v>8098175</v>
      </c>
      <c r="F9" s="21">
        <v>7813613</v>
      </c>
    </row>
    <row r="10" spans="1:6" ht="22.5" customHeight="1" thickTop="1" x14ac:dyDescent="0.4">
      <c r="A10" s="27" t="s">
        <v>53</v>
      </c>
      <c r="B10" s="25"/>
      <c r="C10" s="25"/>
      <c r="D10" s="25"/>
      <c r="E10" s="25"/>
      <c r="F10" s="26">
        <f>SUBTOTAL(109,企画5年推移!$F$4:$F$9)</f>
        <v>40404020</v>
      </c>
    </row>
  </sheetData>
  <phoneticPr fontId="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1"/>
  <sheetViews>
    <sheetView workbookViewId="0"/>
  </sheetViews>
  <sheetFormatPr defaultRowHeight="22.5" customHeight="1" x14ac:dyDescent="0.4"/>
  <cols>
    <col min="1" max="1" width="3.25" style="1" customWidth="1"/>
    <col min="2" max="2" width="22" style="1" customWidth="1"/>
    <col min="3" max="8" width="10" style="1" customWidth="1"/>
    <col min="9" max="9" width="14" style="1" customWidth="1"/>
    <col min="10" max="16384" width="9" style="1"/>
  </cols>
  <sheetData>
    <row r="2" spans="2:9" ht="27.75" customHeight="1" x14ac:dyDescent="0.4">
      <c r="B2" s="34" t="s">
        <v>29</v>
      </c>
      <c r="C2" s="34"/>
      <c r="D2" s="34"/>
      <c r="E2" s="34"/>
      <c r="F2" s="34"/>
      <c r="G2" s="34"/>
      <c r="H2" s="34"/>
      <c r="I2" s="34"/>
    </row>
    <row r="3" spans="2:9" s="2" customFormat="1" ht="22.5" customHeight="1" x14ac:dyDescent="0.4">
      <c r="B3" s="6" t="s">
        <v>30</v>
      </c>
      <c r="C3" s="7" t="s">
        <v>4</v>
      </c>
      <c r="D3" s="7" t="s">
        <v>5</v>
      </c>
      <c r="E3" s="7" t="s">
        <v>6</v>
      </c>
      <c r="F3" s="7" t="s">
        <v>31</v>
      </c>
      <c r="G3" s="7" t="s">
        <v>8</v>
      </c>
      <c r="H3" s="7" t="s">
        <v>9</v>
      </c>
      <c r="I3" s="8" t="s">
        <v>32</v>
      </c>
    </row>
    <row r="4" spans="2:9" ht="22.5" customHeight="1" x14ac:dyDescent="0.4">
      <c r="B4" s="9" t="s">
        <v>33</v>
      </c>
      <c r="C4" s="10">
        <v>640785</v>
      </c>
      <c r="D4" s="10">
        <v>1101540</v>
      </c>
      <c r="E4" s="10">
        <v>1416316</v>
      </c>
      <c r="F4" s="10">
        <v>1472261</v>
      </c>
      <c r="G4" s="10">
        <v>875805</v>
      </c>
      <c r="H4" s="10">
        <v>1175150</v>
      </c>
      <c r="I4" s="11">
        <v>6681857</v>
      </c>
    </row>
    <row r="5" spans="2:9" ht="22.5" customHeight="1" x14ac:dyDescent="0.4">
      <c r="B5" s="9" t="s">
        <v>34</v>
      </c>
      <c r="C5" s="10">
        <v>1126492</v>
      </c>
      <c r="D5" s="10">
        <v>1127276</v>
      </c>
      <c r="E5" s="10">
        <v>648164</v>
      </c>
      <c r="F5" s="10">
        <v>1272009</v>
      </c>
      <c r="G5" s="10">
        <v>1192343</v>
      </c>
      <c r="H5" s="10">
        <v>555868</v>
      </c>
      <c r="I5" s="11">
        <v>5922152</v>
      </c>
    </row>
    <row r="6" spans="2:9" ht="22.5" customHeight="1" x14ac:dyDescent="0.4">
      <c r="B6" s="9" t="s">
        <v>35</v>
      </c>
      <c r="C6" s="10">
        <v>377829</v>
      </c>
      <c r="D6" s="10">
        <v>795143</v>
      </c>
      <c r="E6" s="10">
        <v>1280981</v>
      </c>
      <c r="F6" s="10">
        <v>1498684</v>
      </c>
      <c r="G6" s="10">
        <v>902940</v>
      </c>
      <c r="H6" s="10">
        <v>395847</v>
      </c>
      <c r="I6" s="11">
        <v>5251424</v>
      </c>
    </row>
    <row r="7" spans="2:9" ht="22.5" customHeight="1" x14ac:dyDescent="0.4">
      <c r="B7" s="9" t="s">
        <v>36</v>
      </c>
      <c r="C7" s="10">
        <v>692555</v>
      </c>
      <c r="D7" s="10">
        <v>850996</v>
      </c>
      <c r="E7" s="10">
        <v>671105</v>
      </c>
      <c r="F7" s="10">
        <v>617605</v>
      </c>
      <c r="G7" s="10">
        <v>509023</v>
      </c>
      <c r="H7" s="10">
        <v>251223</v>
      </c>
      <c r="I7" s="11">
        <v>3592507</v>
      </c>
    </row>
    <row r="8" spans="2:9" ht="22.5" customHeight="1" x14ac:dyDescent="0.4">
      <c r="B8" s="9" t="s">
        <v>37</v>
      </c>
      <c r="C8" s="10">
        <v>296917</v>
      </c>
      <c r="D8" s="10">
        <v>713472</v>
      </c>
      <c r="E8" s="10">
        <v>1196433</v>
      </c>
      <c r="F8" s="10">
        <v>1481934</v>
      </c>
      <c r="G8" s="10">
        <v>352731</v>
      </c>
      <c r="H8" s="10">
        <v>1155076</v>
      </c>
      <c r="I8" s="11">
        <v>5196563</v>
      </c>
    </row>
    <row r="9" spans="2:9" ht="22.5" customHeight="1" x14ac:dyDescent="0.4">
      <c r="B9" s="9" t="s">
        <v>38</v>
      </c>
      <c r="C9" s="10">
        <v>1069145</v>
      </c>
      <c r="D9" s="10">
        <v>1407269</v>
      </c>
      <c r="E9" s="10">
        <v>607760</v>
      </c>
      <c r="F9" s="10">
        <v>1005261</v>
      </c>
      <c r="G9" s="10">
        <v>1236784</v>
      </c>
      <c r="H9" s="10">
        <v>1038132</v>
      </c>
      <c r="I9" s="11">
        <v>6364351</v>
      </c>
    </row>
    <row r="10" spans="2:9" ht="22.5" customHeight="1" thickBot="1" x14ac:dyDescent="0.45">
      <c r="B10" s="9" t="s">
        <v>39</v>
      </c>
      <c r="C10" s="10">
        <v>711672</v>
      </c>
      <c r="D10" s="10">
        <v>509479</v>
      </c>
      <c r="E10" s="10">
        <v>211628</v>
      </c>
      <c r="F10" s="10">
        <v>423529</v>
      </c>
      <c r="G10" s="10">
        <v>1091596</v>
      </c>
      <c r="H10" s="10">
        <v>658943</v>
      </c>
      <c r="I10" s="11">
        <v>3606847</v>
      </c>
    </row>
    <row r="11" spans="2:9" ht="26.25" customHeight="1" thickTop="1" x14ac:dyDescent="0.4">
      <c r="B11" s="33" t="s">
        <v>52</v>
      </c>
      <c r="C11" s="12"/>
      <c r="D11" s="12"/>
      <c r="E11" s="12"/>
      <c r="F11" s="12"/>
      <c r="G11" s="12"/>
      <c r="H11" s="12"/>
      <c r="I11" s="13">
        <f>SUBTOTAL(109,宿泊プラン!$I$4:$I$10)</f>
        <v>36615701</v>
      </c>
    </row>
  </sheetData>
  <mergeCells count="1">
    <mergeCell ref="B2:I2"/>
  </mergeCells>
  <phoneticPr fontId="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5"/>
  <sheetViews>
    <sheetView tabSelected="1" workbookViewId="0"/>
  </sheetViews>
  <sheetFormatPr defaultRowHeight="15.75" customHeight="1" x14ac:dyDescent="0.4"/>
  <cols>
    <col min="1" max="1" width="3" style="1" customWidth="1"/>
    <col min="2" max="2" width="14" style="1" customWidth="1"/>
    <col min="3" max="5" width="12.25" style="1" customWidth="1"/>
    <col min="6" max="16384" width="9" style="1"/>
  </cols>
  <sheetData>
    <row r="2" spans="2:5" ht="24" customHeight="1" thickBot="1" x14ac:dyDescent="0.45">
      <c r="B2" s="35" t="s">
        <v>51</v>
      </c>
      <c r="C2" s="35"/>
      <c r="D2" s="35"/>
      <c r="E2" s="35"/>
    </row>
    <row r="3" spans="2:5" ht="22.5" customHeight="1" thickBot="1" x14ac:dyDescent="0.45">
      <c r="B3" s="3" t="s">
        <v>40</v>
      </c>
      <c r="C3" s="3" t="s">
        <v>41</v>
      </c>
      <c r="D3" s="3" t="s">
        <v>42</v>
      </c>
      <c r="E3" s="3" t="s">
        <v>43</v>
      </c>
    </row>
    <row r="4" spans="2:5" ht="27" customHeight="1" x14ac:dyDescent="0.4">
      <c r="B4" s="4" t="s">
        <v>4</v>
      </c>
      <c r="C4" s="4">
        <v>380</v>
      </c>
      <c r="D4" s="4">
        <v>365</v>
      </c>
      <c r="E4" s="4">
        <v>168</v>
      </c>
    </row>
    <row r="5" spans="2:5" ht="27" customHeight="1" x14ac:dyDescent="0.4">
      <c r="B5" s="1" t="s">
        <v>5</v>
      </c>
      <c r="C5" s="1">
        <v>251</v>
      </c>
      <c r="D5" s="1">
        <v>385</v>
      </c>
      <c r="E5" s="1">
        <v>113</v>
      </c>
    </row>
    <row r="6" spans="2:5" ht="27" customHeight="1" x14ac:dyDescent="0.4">
      <c r="B6" s="1" t="s">
        <v>6</v>
      </c>
      <c r="C6" s="1">
        <v>324</v>
      </c>
      <c r="D6" s="1">
        <v>333</v>
      </c>
      <c r="E6" s="1">
        <v>84</v>
      </c>
    </row>
    <row r="7" spans="2:5" ht="27" customHeight="1" x14ac:dyDescent="0.4">
      <c r="B7" s="1" t="s">
        <v>31</v>
      </c>
      <c r="C7" s="1">
        <v>675</v>
      </c>
      <c r="D7" s="1">
        <v>371</v>
      </c>
      <c r="E7" s="1">
        <v>193</v>
      </c>
    </row>
    <row r="8" spans="2:5" ht="27" customHeight="1" x14ac:dyDescent="0.4">
      <c r="B8" s="1" t="s">
        <v>8</v>
      </c>
      <c r="C8" s="1">
        <v>524</v>
      </c>
      <c r="D8" s="1">
        <v>326</v>
      </c>
      <c r="E8" s="1">
        <v>179</v>
      </c>
    </row>
    <row r="9" spans="2:5" ht="27" customHeight="1" x14ac:dyDescent="0.4">
      <c r="B9" s="1" t="s">
        <v>9</v>
      </c>
      <c r="C9" s="1">
        <v>636</v>
      </c>
      <c r="D9" s="1">
        <v>380</v>
      </c>
      <c r="E9" s="1">
        <v>164</v>
      </c>
    </row>
    <row r="10" spans="2:5" ht="27" customHeight="1" x14ac:dyDescent="0.4">
      <c r="B10" s="1" t="s">
        <v>44</v>
      </c>
      <c r="C10" s="1">
        <v>362</v>
      </c>
      <c r="D10" s="1">
        <v>343</v>
      </c>
      <c r="E10" s="1">
        <v>165</v>
      </c>
    </row>
    <row r="11" spans="2:5" ht="27" customHeight="1" x14ac:dyDescent="0.4">
      <c r="B11" s="1" t="s">
        <v>45</v>
      </c>
      <c r="C11" s="1">
        <v>465</v>
      </c>
      <c r="D11" s="1">
        <v>226</v>
      </c>
      <c r="E11" s="1">
        <v>120</v>
      </c>
    </row>
    <row r="12" spans="2:5" ht="27" customHeight="1" x14ac:dyDescent="0.4">
      <c r="B12" s="1" t="s">
        <v>46</v>
      </c>
      <c r="C12" s="1">
        <v>733</v>
      </c>
      <c r="D12" s="1">
        <v>348</v>
      </c>
      <c r="E12" s="1">
        <v>111</v>
      </c>
    </row>
    <row r="13" spans="2:5" ht="27" customHeight="1" x14ac:dyDescent="0.4">
      <c r="B13" s="1" t="s">
        <v>47</v>
      </c>
      <c r="C13" s="1">
        <v>481</v>
      </c>
      <c r="D13" s="1">
        <v>325</v>
      </c>
      <c r="E13" s="1">
        <v>69</v>
      </c>
    </row>
    <row r="14" spans="2:5" ht="27" customHeight="1" x14ac:dyDescent="0.4">
      <c r="B14" s="1" t="s">
        <v>48</v>
      </c>
      <c r="C14" s="1">
        <v>492</v>
      </c>
      <c r="D14" s="1">
        <v>220</v>
      </c>
      <c r="E14" s="1">
        <v>119</v>
      </c>
    </row>
    <row r="15" spans="2:5" ht="27" customHeight="1" thickBot="1" x14ac:dyDescent="0.45">
      <c r="B15" s="5" t="s">
        <v>49</v>
      </c>
      <c r="C15" s="5">
        <v>543</v>
      </c>
      <c r="D15" s="5">
        <v>263</v>
      </c>
      <c r="E15" s="5">
        <v>188</v>
      </c>
    </row>
  </sheetData>
  <mergeCells count="1">
    <mergeCell ref="B2:E2"/>
  </mergeCells>
  <phoneticPr fontId="3"/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ツアー予約月次</vt:lpstr>
      <vt:lpstr>企画5年推移</vt:lpstr>
      <vt:lpstr>宿泊プラン</vt:lpstr>
      <vt:lpstr>銀座支店売上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2026-06-25T03:44:04Z</dcterms:created>
  <dcterms:modified xsi:type="dcterms:W3CDTF">2026-07-05T07:43:58Z</dcterms:modified>
</cp:coreProperties>
</file>