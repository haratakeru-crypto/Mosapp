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2\"/>
    </mc:Choice>
  </mc:AlternateContent>
  <xr:revisionPtr revIDLastSave="0" documentId="13_ncr:1_{3F8ACD43-5B56-4F8B-83A5-ECBE4AC6A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国内ツアー売上" sheetId="2" r:id="rId1"/>
    <sheet name="地域別売上" sheetId="6" r:id="rId2"/>
    <sheet name="ガイド名簿" sheetId="3" r:id="rId3"/>
    <sheet name="出発時刻表" sheetId="4" r:id="rId4"/>
    <sheet name="ツアー参加者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4" i="2"/>
</calcChain>
</file>

<file path=xl/sharedStrings.xml><?xml version="1.0" encoding="utf-8"?>
<sst xmlns="http://schemas.openxmlformats.org/spreadsheetml/2006/main" count="366" uniqueCount="146">
  <si>
    <t>ツアー名</t>
  </si>
  <si>
    <t>参加者</t>
  </si>
  <si>
    <t>単価</t>
  </si>
  <si>
    <t>経費</t>
  </si>
  <si>
    <t>満足度</t>
  </si>
  <si>
    <t>売上</t>
  </si>
  <si>
    <t>ツアー1</t>
  </si>
  <si>
    <t>ツアー2</t>
  </si>
  <si>
    <t>ツアー3</t>
  </si>
  <si>
    <t>ツアー4</t>
  </si>
  <si>
    <t>ツアー5</t>
  </si>
  <si>
    <t>ツアー6</t>
  </si>
  <si>
    <t>ツアー8</t>
  </si>
  <si>
    <t>利益率</t>
  </si>
  <si>
    <t>地域</t>
  </si>
  <si>
    <t>件数</t>
  </si>
  <si>
    <t>区分</t>
  </si>
  <si>
    <t>地域1</t>
  </si>
  <si>
    <t>国内</t>
  </si>
  <si>
    <t>地域2</t>
  </si>
  <si>
    <t>海外</t>
  </si>
  <si>
    <t>地域3</t>
  </si>
  <si>
    <t>地域4</t>
  </si>
  <si>
    <t>地域5</t>
  </si>
  <si>
    <t>地域6</t>
  </si>
  <si>
    <t>地域7</t>
  </si>
  <si>
    <t>地域8</t>
  </si>
  <si>
    <t>地域9</t>
  </si>
  <si>
    <t>ガイド名簿 管理表</t>
  </si>
  <si>
    <t>No</t>
  </si>
  <si>
    <t>拠点</t>
  </si>
  <si>
    <t>担当</t>
  </si>
  <si>
    <t>氏名</t>
  </si>
  <si>
    <t>言語</t>
  </si>
  <si>
    <t>経験年数</t>
  </si>
  <si>
    <t>資格</t>
  </si>
  <si>
    <t>西口店</t>
  </si>
  <si>
    <t>林 晴</t>
  </si>
  <si>
    <t>A</t>
  </si>
  <si>
    <t>C</t>
  </si>
  <si>
    <t>D</t>
  </si>
  <si>
    <t>南口店</t>
  </si>
  <si>
    <t>岡本 陸</t>
  </si>
  <si>
    <t>B</t>
  </si>
  <si>
    <t>伊藤 恵</t>
  </si>
  <si>
    <t>中央店</t>
  </si>
  <si>
    <t>三浦 真央</t>
  </si>
  <si>
    <t>清水 陸</t>
  </si>
  <si>
    <t>加藤 和也</t>
  </si>
  <si>
    <t>森 葵</t>
  </si>
  <si>
    <t>山本 悠真</t>
  </si>
  <si>
    <t>松本 蓮</t>
  </si>
  <si>
    <t>青木 陽菜</t>
  </si>
  <si>
    <t>小林 千尋</t>
  </si>
  <si>
    <t>村上 悠斗</t>
  </si>
  <si>
    <t>東口店</t>
  </si>
  <si>
    <t>鈴木 直樹</t>
  </si>
  <si>
    <t>高橋 沙織</t>
  </si>
  <si>
    <t>斎藤 陽菜</t>
  </si>
  <si>
    <t>石井 奏</t>
  </si>
  <si>
    <t>石井 蓮</t>
  </si>
  <si>
    <t>石川 悠真</t>
  </si>
  <si>
    <t>三浦 彩乃</t>
  </si>
  <si>
    <t>阿部 真央</t>
  </si>
  <si>
    <t>松本 拓海</t>
  </si>
  <si>
    <t>橋本 直樹</t>
  </si>
  <si>
    <t>森 優花</t>
  </si>
  <si>
    <t>小林 翼</t>
  </si>
  <si>
    <t>岡田 恵</t>
  </si>
  <si>
    <t>森 一真</t>
  </si>
  <si>
    <t>藤井 一真</t>
  </si>
  <si>
    <t>前田 健太</t>
  </si>
  <si>
    <t>藤田 美月</t>
  </si>
  <si>
    <t>橋本 千尋</t>
  </si>
  <si>
    <t>出発時刻表</t>
  </si>
  <si>
    <t>時間</t>
  </si>
  <si>
    <t>内容</t>
  </si>
  <si>
    <t>備考</t>
  </si>
  <si>
    <t>確認</t>
  </si>
  <si>
    <t>予備</t>
  </si>
  <si>
    <t>時間2</t>
  </si>
  <si>
    <t>時間3</t>
  </si>
  <si>
    <t>要確認</t>
  </si>
  <si>
    <t>通常</t>
  </si>
  <si>
    <t>優先</t>
  </si>
  <si>
    <t>ツアー参加者一覧</t>
  </si>
  <si>
    <t>申込日</t>
  </si>
  <si>
    <t>連絡先</t>
  </si>
  <si>
    <t>中野 大地</t>
  </si>
  <si>
    <t>招待</t>
  </si>
  <si>
    <t>sample01@example.jp</t>
  </si>
  <si>
    <t>確認中</t>
  </si>
  <si>
    <t>佐々木 優花</t>
  </si>
  <si>
    <t>一般</t>
  </si>
  <si>
    <t>sample02@example.jp</t>
  </si>
  <si>
    <t>済</t>
  </si>
  <si>
    <t>伊藤 奏</t>
  </si>
  <si>
    <t>sample03@example.jp</t>
  </si>
  <si>
    <t>村上 尚子</t>
  </si>
  <si>
    <t>会員</t>
  </si>
  <si>
    <t>sample04@example.jp</t>
  </si>
  <si>
    <t>藤井 蓮</t>
  </si>
  <si>
    <t>sample05@example.jp</t>
  </si>
  <si>
    <t>大野 翼</t>
  </si>
  <si>
    <t>sample06@example.jp</t>
  </si>
  <si>
    <t>未</t>
  </si>
  <si>
    <t>斎藤 蓮</t>
  </si>
  <si>
    <t>sample07@example.jp</t>
  </si>
  <si>
    <t>西村 健太</t>
  </si>
  <si>
    <t>sample08@example.jp</t>
  </si>
  <si>
    <t>鈴木 明日香</t>
  </si>
  <si>
    <t>紹介</t>
  </si>
  <si>
    <t>sample09@example.jp</t>
  </si>
  <si>
    <t>佐々木 悠真</t>
  </si>
  <si>
    <t>sample10@example.jp</t>
  </si>
  <si>
    <t>中川 優花</t>
  </si>
  <si>
    <t>sample11@example.jp</t>
  </si>
  <si>
    <t>森本 葵</t>
  </si>
  <si>
    <t>sample12@example.jp</t>
  </si>
  <si>
    <t>太田 直樹</t>
  </si>
  <si>
    <t>sample13@example.jp</t>
  </si>
  <si>
    <t>近藤 彩乃</t>
  </si>
  <si>
    <t>sample14@example.jp</t>
  </si>
  <si>
    <t>岡田 晴</t>
  </si>
  <si>
    <t>sample15@example.jp</t>
  </si>
  <si>
    <t>福田 拓海</t>
  </si>
  <si>
    <t>sample16@example.jp</t>
  </si>
  <si>
    <t>石川 拓海</t>
  </si>
  <si>
    <t>sample17@example.jp</t>
  </si>
  <si>
    <t>橋本 陽菜</t>
  </si>
  <si>
    <t>sample18@example.jp</t>
  </si>
  <si>
    <t>池田 葵</t>
  </si>
  <si>
    <t>sample19@example.jp</t>
  </si>
  <si>
    <t>山口 健太</t>
  </si>
  <si>
    <t>sample20@example.jp</t>
  </si>
  <si>
    <t>鈴木 蓮</t>
  </si>
  <si>
    <t>sample21@example.jp</t>
  </si>
  <si>
    <t>石井 真央</t>
  </si>
  <si>
    <t>sample22@example.jp</t>
  </si>
  <si>
    <t>ツアー7</t>
  </si>
  <si>
    <t>国内ツアー売上</t>
    <rPh sb="0" eb="2">
      <t>コクナイ</t>
    </rPh>
    <phoneticPr fontId="5"/>
  </si>
  <si>
    <t>地域売上実績</t>
    <rPh sb="0" eb="2">
      <t>チイキ</t>
    </rPh>
    <rPh sb="2" eb="4">
      <t>ウリアゲ</t>
    </rPh>
    <phoneticPr fontId="5"/>
  </si>
  <si>
    <t>参加者数</t>
    <rPh sb="0" eb="3">
      <t>サンカシャ</t>
    </rPh>
    <rPh sb="3" eb="4">
      <t>スウ</t>
    </rPh>
    <phoneticPr fontId="5"/>
  </si>
  <si>
    <t>前年度比</t>
    <rPh sb="0" eb="3">
      <t>ゼンネンド</t>
    </rPh>
    <rPh sb="3" eb="4">
      <t>ヒ</t>
    </rPh>
    <phoneticPr fontId="5"/>
  </si>
  <si>
    <t>企画担当</t>
    <rPh sb="0" eb="2">
      <t>キカク</t>
    </rPh>
    <rPh sb="2" eb="4">
      <t>タントウ</t>
    </rPh>
    <phoneticPr fontId="5"/>
  </si>
  <si>
    <t>登録番号</t>
    <rPh sb="0" eb="2">
      <t>トウロク</t>
    </rPh>
    <rPh sb="2" eb="4">
      <t>バンゴウ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</si>
</sst>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3" x14ac:knownFonts="1">
    <font>
      <sz val="11"/>
      <color theme="1"/>
      <name val="メイリオ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6"/>
      <color theme="1"/>
      <name val="メイリオ"/>
      <family val="2"/>
      <scheme val="minor"/>
    </font>
    <font>
      <b/>
      <sz val="12"/>
      <color theme="0"/>
      <name val="ＭＳ Ｐゴシック"/>
      <family val="3"/>
      <charset val="128"/>
    </font>
    <font>
      <sz val="11"/>
      <name val="メイリオ"/>
      <family val="3"/>
      <charset val="128"/>
      <scheme val="minor"/>
    </font>
    <font>
      <b/>
      <sz val="16"/>
      <color theme="5" tint="-0.249977111117893"/>
      <name val="HG丸ｺﾞｼｯｸM-PRO"/>
      <family val="3"/>
      <charset val="128"/>
    </font>
    <font>
      <b/>
      <sz val="11"/>
      <color theme="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8" fontId="0" fillId="0" borderId="1" xfId="1" applyFont="1" applyFill="1" applyBorder="1" applyAlignment="1">
      <alignment vertical="center"/>
    </xf>
    <xf numFmtId="38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0" fillId="0" borderId="2" xfId="0" applyBorder="1"/>
    <xf numFmtId="0" fontId="7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20" fontId="10" fillId="2" borderId="0" xfId="0" applyNumberFormat="1" applyFont="1" applyFill="1" applyAlignment="1">
      <alignment vertical="center"/>
    </xf>
    <xf numFmtId="20" fontId="10" fillId="0" borderId="0" xfId="0" applyNumberFormat="1" applyFon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FCD5FF"/>
      <color rgb="FFFFCCFF"/>
      <color rgb="FFFFD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インテグラル">
  <a:themeElements>
    <a:clrScheme name="インテグラル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インテグラル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インテグラル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G3" sqref="G3"/>
    </sheetView>
  </sheetViews>
  <sheetFormatPr defaultRowHeight="18.75" x14ac:dyDescent="0.45"/>
  <cols>
    <col min="1" max="1" width="13.109375" customWidth="1"/>
    <col min="2" max="2" width="8.77734375" customWidth="1"/>
    <col min="3" max="4" width="13.44140625" customWidth="1"/>
    <col min="5" max="5" width="8.77734375" customWidth="1"/>
    <col min="6" max="6" width="13.44140625" customWidth="1"/>
    <col min="7" max="7" width="14.109375" customWidth="1"/>
    <col min="8" max="9" width="13.109375" customWidth="1"/>
  </cols>
  <sheetData>
    <row r="1" spans="1:7" x14ac:dyDescent="0.45">
      <c r="A1" s="12" t="s">
        <v>140</v>
      </c>
    </row>
    <row r="3" spans="1:7" x14ac:dyDescent="0.4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0" t="s">
        <v>13</v>
      </c>
    </row>
    <row r="4" spans="1:7" x14ac:dyDescent="0.45">
      <c r="A4" s="11" t="s">
        <v>6</v>
      </c>
      <c r="B4" s="7">
        <v>13</v>
      </c>
      <c r="C4" s="7">
        <v>47649</v>
      </c>
      <c r="D4" s="7">
        <v>35279</v>
      </c>
      <c r="E4" s="7">
        <v>84</v>
      </c>
      <c r="F4" s="7">
        <f>B4*C4</f>
        <v>619437</v>
      </c>
      <c r="G4" s="8"/>
    </row>
    <row r="5" spans="1:7" x14ac:dyDescent="0.45">
      <c r="A5" s="11" t="s">
        <v>7</v>
      </c>
      <c r="B5" s="7">
        <v>16</v>
      </c>
      <c r="C5" s="7">
        <v>55396</v>
      </c>
      <c r="D5" s="7">
        <v>26726</v>
      </c>
      <c r="E5" s="7">
        <v>67</v>
      </c>
      <c r="F5" s="7">
        <f t="shared" ref="F5:F11" si="0">B5*C5</f>
        <v>886336</v>
      </c>
      <c r="G5" s="9"/>
    </row>
    <row r="6" spans="1:7" x14ac:dyDescent="0.45">
      <c r="A6" s="11" t="s">
        <v>8</v>
      </c>
      <c r="B6" s="7">
        <v>28</v>
      </c>
      <c r="C6" s="7">
        <v>34165</v>
      </c>
      <c r="D6" s="7">
        <v>52409</v>
      </c>
      <c r="E6" s="7">
        <v>63</v>
      </c>
      <c r="F6" s="7">
        <f t="shared" si="0"/>
        <v>956620</v>
      </c>
      <c r="G6" s="9"/>
    </row>
    <row r="7" spans="1:7" x14ac:dyDescent="0.45">
      <c r="A7" s="11" t="s">
        <v>9</v>
      </c>
      <c r="B7" s="7">
        <v>24</v>
      </c>
      <c r="C7" s="7">
        <v>68971</v>
      </c>
      <c r="D7" s="7">
        <v>57433</v>
      </c>
      <c r="E7" s="7">
        <v>78</v>
      </c>
      <c r="F7" s="7">
        <f t="shared" si="0"/>
        <v>1655304</v>
      </c>
      <c r="G7" s="9"/>
    </row>
    <row r="8" spans="1:7" x14ac:dyDescent="0.45">
      <c r="A8" s="11" t="s">
        <v>10</v>
      </c>
      <c r="B8" s="7">
        <v>29</v>
      </c>
      <c r="C8" s="7">
        <v>18872</v>
      </c>
      <c r="D8" s="7">
        <v>17468</v>
      </c>
      <c r="E8" s="7">
        <v>83</v>
      </c>
      <c r="F8" s="7">
        <f t="shared" si="0"/>
        <v>547288</v>
      </c>
      <c r="G8" s="9"/>
    </row>
    <row r="9" spans="1:7" x14ac:dyDescent="0.45">
      <c r="A9" s="11" t="s">
        <v>11</v>
      </c>
      <c r="B9" s="7">
        <v>12</v>
      </c>
      <c r="C9" s="7">
        <v>31771</v>
      </c>
      <c r="D9" s="7">
        <v>17429</v>
      </c>
      <c r="E9" s="7">
        <v>87</v>
      </c>
      <c r="F9" s="7">
        <f t="shared" si="0"/>
        <v>381252</v>
      </c>
      <c r="G9" s="9"/>
    </row>
    <row r="10" spans="1:7" x14ac:dyDescent="0.45">
      <c r="A10" s="11" t="s">
        <v>139</v>
      </c>
      <c r="B10" s="7">
        <v>17</v>
      </c>
      <c r="C10" s="7">
        <v>35167</v>
      </c>
      <c r="D10" s="7">
        <v>21256</v>
      </c>
      <c r="E10" s="7">
        <v>98</v>
      </c>
      <c r="F10" s="7">
        <f t="shared" si="0"/>
        <v>597839</v>
      </c>
      <c r="G10" s="9"/>
    </row>
    <row r="11" spans="1:7" x14ac:dyDescent="0.45">
      <c r="A11" s="11" t="s">
        <v>12</v>
      </c>
      <c r="B11" s="6">
        <v>13</v>
      </c>
      <c r="C11" s="7">
        <v>30998</v>
      </c>
      <c r="D11" s="7">
        <v>52458</v>
      </c>
      <c r="E11" s="7">
        <v>98</v>
      </c>
      <c r="F11" s="7">
        <f t="shared" si="0"/>
        <v>402974</v>
      </c>
      <c r="G11" s="9"/>
    </row>
  </sheetData>
  <phoneticPr fontId="5"/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EA77-B3DE-4577-AEF3-DA7D212A9B1B}">
  <dimension ref="A1:N12"/>
  <sheetViews>
    <sheetView workbookViewId="0"/>
  </sheetViews>
  <sheetFormatPr defaultRowHeight="18.75" x14ac:dyDescent="0.45"/>
  <cols>
    <col min="1" max="10" width="8.77734375" customWidth="1"/>
    <col min="11" max="14" width="21.6640625" customWidth="1"/>
  </cols>
  <sheetData>
    <row r="1" spans="1:14" x14ac:dyDescent="0.45">
      <c r="A1" s="1"/>
    </row>
    <row r="2" spans="1:14" ht="24.75" x14ac:dyDescent="0.45">
      <c r="A2" s="13" t="s">
        <v>141</v>
      </c>
    </row>
    <row r="3" spans="1:14" x14ac:dyDescent="0.45">
      <c r="A3" s="17" t="s">
        <v>14</v>
      </c>
      <c r="B3" s="17" t="s">
        <v>15</v>
      </c>
      <c r="C3" s="17" t="s">
        <v>5</v>
      </c>
      <c r="D3" s="17" t="s">
        <v>16</v>
      </c>
      <c r="E3" s="17" t="s">
        <v>142</v>
      </c>
      <c r="F3" s="17" t="s">
        <v>143</v>
      </c>
      <c r="G3" s="17" t="s">
        <v>144</v>
      </c>
      <c r="K3" s="15" t="s">
        <v>14</v>
      </c>
      <c r="L3" s="15" t="s">
        <v>15</v>
      </c>
      <c r="M3" s="15" t="s">
        <v>5</v>
      </c>
      <c r="N3" s="15" t="s">
        <v>16</v>
      </c>
    </row>
    <row r="4" spans="1:14" x14ac:dyDescent="0.45">
      <c r="A4" s="14"/>
      <c r="B4" s="14"/>
      <c r="C4" s="14"/>
      <c r="D4" s="14"/>
      <c r="E4" s="14"/>
      <c r="F4" s="14"/>
      <c r="G4" s="14"/>
      <c r="K4" s="16" t="s">
        <v>17</v>
      </c>
      <c r="L4" s="16">
        <v>48</v>
      </c>
      <c r="M4" s="16">
        <v>530324</v>
      </c>
      <c r="N4" s="16" t="s">
        <v>18</v>
      </c>
    </row>
    <row r="5" spans="1:14" x14ac:dyDescent="0.45">
      <c r="A5" s="14"/>
      <c r="B5" s="14"/>
      <c r="C5" s="14"/>
      <c r="D5" s="14"/>
      <c r="E5" s="14"/>
      <c r="F5" s="14"/>
      <c r="G5" s="14"/>
      <c r="K5" s="16" t="s">
        <v>19</v>
      </c>
      <c r="L5" s="16">
        <v>35</v>
      </c>
      <c r="M5" s="16">
        <v>436870</v>
      </c>
      <c r="N5" s="16" t="s">
        <v>20</v>
      </c>
    </row>
    <row r="6" spans="1:14" x14ac:dyDescent="0.45">
      <c r="A6" s="14"/>
      <c r="B6" s="14"/>
      <c r="C6" s="14"/>
      <c r="D6" s="14"/>
      <c r="E6" s="14"/>
      <c r="F6" s="14"/>
      <c r="G6" s="14"/>
      <c r="K6" s="16" t="s">
        <v>21</v>
      </c>
      <c r="L6" s="16">
        <v>14</v>
      </c>
      <c r="M6" s="16">
        <v>577911</v>
      </c>
      <c r="N6" s="16" t="s">
        <v>20</v>
      </c>
    </row>
    <row r="7" spans="1:14" x14ac:dyDescent="0.45">
      <c r="A7" s="14"/>
      <c r="B7" s="14"/>
      <c r="C7" s="14"/>
      <c r="D7" s="14"/>
      <c r="E7" s="14"/>
      <c r="F7" s="14"/>
      <c r="G7" s="14"/>
      <c r="K7" s="16" t="s">
        <v>22</v>
      </c>
      <c r="L7" s="16">
        <v>28</v>
      </c>
      <c r="M7" s="16">
        <v>637460</v>
      </c>
      <c r="N7" s="16" t="s">
        <v>18</v>
      </c>
    </row>
    <row r="8" spans="1:14" x14ac:dyDescent="0.45">
      <c r="A8" s="14"/>
      <c r="B8" s="14"/>
      <c r="C8" s="14"/>
      <c r="D8" s="14"/>
      <c r="E8" s="14"/>
      <c r="F8" s="14"/>
      <c r="G8" s="14"/>
      <c r="K8" s="16" t="s">
        <v>23</v>
      </c>
      <c r="L8" s="16">
        <v>41</v>
      </c>
      <c r="M8" s="16">
        <v>642350</v>
      </c>
      <c r="N8" s="16" t="s">
        <v>18</v>
      </c>
    </row>
    <row r="9" spans="1:14" x14ac:dyDescent="0.45">
      <c r="A9" s="14"/>
      <c r="B9" s="14"/>
      <c r="C9" s="14"/>
      <c r="D9" s="14"/>
      <c r="E9" s="14"/>
      <c r="F9" s="14"/>
      <c r="G9" s="14"/>
      <c r="K9" s="16" t="s">
        <v>24</v>
      </c>
      <c r="L9" s="16">
        <v>11</v>
      </c>
      <c r="M9" s="16">
        <v>823511</v>
      </c>
      <c r="N9" s="16" t="s">
        <v>20</v>
      </c>
    </row>
    <row r="10" spans="1:14" x14ac:dyDescent="0.45">
      <c r="A10" s="14"/>
      <c r="B10" s="14"/>
      <c r="C10" s="14"/>
      <c r="D10" s="14"/>
      <c r="E10" s="14"/>
      <c r="F10" s="14"/>
      <c r="G10" s="14"/>
      <c r="K10" s="16" t="s">
        <v>25</v>
      </c>
      <c r="L10" s="16">
        <v>34</v>
      </c>
      <c r="M10" s="16">
        <v>685447</v>
      </c>
      <c r="N10" s="16" t="s">
        <v>20</v>
      </c>
    </row>
    <row r="11" spans="1:14" x14ac:dyDescent="0.45">
      <c r="A11" s="14"/>
      <c r="B11" s="14"/>
      <c r="C11" s="14"/>
      <c r="D11" s="14"/>
      <c r="E11" s="14"/>
      <c r="F11" s="14"/>
      <c r="G11" s="14"/>
      <c r="K11" s="16" t="s">
        <v>26</v>
      </c>
      <c r="L11" s="16">
        <v>47</v>
      </c>
      <c r="M11" s="16">
        <v>226241</v>
      </c>
      <c r="N11" s="16" t="s">
        <v>20</v>
      </c>
    </row>
    <row r="12" spans="1:14" x14ac:dyDescent="0.45">
      <c r="A12" s="14"/>
      <c r="B12" s="14"/>
      <c r="C12" s="14"/>
      <c r="D12" s="14"/>
      <c r="E12" s="14"/>
      <c r="F12" s="14"/>
      <c r="G12" s="14"/>
      <c r="K12" s="16" t="s">
        <v>27</v>
      </c>
      <c r="L12" s="16">
        <v>14</v>
      </c>
      <c r="M12" s="16">
        <v>698664</v>
      </c>
      <c r="N12" s="16" t="s">
        <v>20</v>
      </c>
    </row>
  </sheetData>
  <phoneticPr fontId="5"/>
  <pageMargins left="0.75" right="0.75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5"/>
  <sheetViews>
    <sheetView workbookViewId="0"/>
  </sheetViews>
  <sheetFormatPr defaultRowHeight="18.75" x14ac:dyDescent="0.45"/>
  <cols>
    <col min="1" max="1" width="4" customWidth="1"/>
    <col min="2" max="2" width="7.6640625" customWidth="1"/>
    <col min="3" max="3" width="14.109375" customWidth="1"/>
    <col min="4" max="4" width="18.109375" customWidth="1"/>
    <col min="5" max="7" width="14.109375" customWidth="1"/>
    <col min="8" max="8" width="14.109375" style="21" customWidth="1"/>
    <col min="9" max="9" width="14.109375" customWidth="1"/>
    <col min="10" max="10" width="12.44140625" customWidth="1"/>
  </cols>
  <sheetData>
    <row r="2" spans="2:8" x14ac:dyDescent="0.45">
      <c r="B2" s="1" t="s">
        <v>28</v>
      </c>
    </row>
    <row r="4" spans="2:8" s="21" customFormat="1" x14ac:dyDescent="0.45">
      <c r="B4" s="24" t="s">
        <v>29</v>
      </c>
      <c r="C4" s="24" t="s">
        <v>30</v>
      </c>
      <c r="D4" s="24" t="s">
        <v>31</v>
      </c>
      <c r="E4" s="24" t="s">
        <v>32</v>
      </c>
      <c r="F4" s="24" t="s">
        <v>33</v>
      </c>
      <c r="G4" s="24" t="s">
        <v>34</v>
      </c>
      <c r="H4" s="24" t="s">
        <v>35</v>
      </c>
    </row>
    <row r="5" spans="2:8" x14ac:dyDescent="0.45">
      <c r="B5" s="2">
        <v>1</v>
      </c>
      <c r="C5" s="2" t="s">
        <v>36</v>
      </c>
      <c r="D5" s="2" t="s">
        <v>37</v>
      </c>
      <c r="E5" s="2" t="s">
        <v>38</v>
      </c>
      <c r="F5" s="2" t="s">
        <v>39</v>
      </c>
      <c r="G5" s="2">
        <v>3</v>
      </c>
      <c r="H5" s="22" t="s">
        <v>40</v>
      </c>
    </row>
    <row r="6" spans="2:8" x14ac:dyDescent="0.45">
      <c r="B6" s="3">
        <v>2</v>
      </c>
      <c r="C6" s="3" t="s">
        <v>41</v>
      </c>
      <c r="D6" s="3" t="s">
        <v>42</v>
      </c>
      <c r="E6" s="3" t="s">
        <v>40</v>
      </c>
      <c r="F6" s="3" t="s">
        <v>38</v>
      </c>
      <c r="G6" s="3">
        <v>5</v>
      </c>
      <c r="H6" s="23" t="s">
        <v>43</v>
      </c>
    </row>
    <row r="7" spans="2:8" x14ac:dyDescent="0.45">
      <c r="B7" s="2">
        <v>3</v>
      </c>
      <c r="C7" s="2" t="s">
        <v>41</v>
      </c>
      <c r="D7" s="2" t="s">
        <v>44</v>
      </c>
      <c r="E7" s="2" t="s">
        <v>38</v>
      </c>
      <c r="F7" s="2" t="s">
        <v>38</v>
      </c>
      <c r="G7" s="2">
        <v>7</v>
      </c>
      <c r="H7" s="22" t="s">
        <v>40</v>
      </c>
    </row>
    <row r="8" spans="2:8" x14ac:dyDescent="0.45">
      <c r="B8" s="3">
        <v>4</v>
      </c>
      <c r="C8" s="3" t="s">
        <v>45</v>
      </c>
      <c r="D8" s="3" t="s">
        <v>46</v>
      </c>
      <c r="E8" s="3" t="s">
        <v>38</v>
      </c>
      <c r="F8" s="3" t="s">
        <v>43</v>
      </c>
      <c r="G8" s="3">
        <v>4</v>
      </c>
      <c r="H8" s="23" t="s">
        <v>40</v>
      </c>
    </row>
    <row r="9" spans="2:8" x14ac:dyDescent="0.45">
      <c r="B9" s="2">
        <v>5</v>
      </c>
      <c r="C9" s="2" t="s">
        <v>41</v>
      </c>
      <c r="D9" s="2" t="s">
        <v>47</v>
      </c>
      <c r="E9" s="2" t="s">
        <v>39</v>
      </c>
      <c r="F9" s="2" t="s">
        <v>38</v>
      </c>
      <c r="G9" s="2">
        <v>9</v>
      </c>
      <c r="H9" s="22" t="s">
        <v>38</v>
      </c>
    </row>
    <row r="10" spans="2:8" x14ac:dyDescent="0.45">
      <c r="B10" s="3">
        <v>6</v>
      </c>
      <c r="C10" s="3" t="s">
        <v>41</v>
      </c>
      <c r="D10" s="3" t="s">
        <v>48</v>
      </c>
      <c r="E10" s="3" t="s">
        <v>43</v>
      </c>
      <c r="F10" s="3" t="s">
        <v>39</v>
      </c>
      <c r="G10" s="3">
        <v>9</v>
      </c>
      <c r="H10" s="23" t="s">
        <v>38</v>
      </c>
    </row>
    <row r="11" spans="2:8" x14ac:dyDescent="0.45">
      <c r="B11" s="2">
        <v>7</v>
      </c>
      <c r="C11" s="2" t="s">
        <v>36</v>
      </c>
      <c r="D11" s="2" t="s">
        <v>49</v>
      </c>
      <c r="E11" s="2" t="s">
        <v>40</v>
      </c>
      <c r="F11" s="2" t="s">
        <v>38</v>
      </c>
      <c r="G11" s="2">
        <v>10</v>
      </c>
      <c r="H11" s="22" t="s">
        <v>40</v>
      </c>
    </row>
    <row r="12" spans="2:8" x14ac:dyDescent="0.45">
      <c r="B12" s="3">
        <v>8</v>
      </c>
      <c r="C12" s="3" t="s">
        <v>36</v>
      </c>
      <c r="D12" s="3" t="s">
        <v>50</v>
      </c>
      <c r="E12" s="3" t="s">
        <v>38</v>
      </c>
      <c r="F12" s="3" t="s">
        <v>38</v>
      </c>
      <c r="G12" s="3">
        <v>4</v>
      </c>
      <c r="H12" s="23" t="s">
        <v>39</v>
      </c>
    </row>
    <row r="13" spans="2:8" x14ac:dyDescent="0.45">
      <c r="B13" s="2">
        <v>9</v>
      </c>
      <c r="C13" s="2" t="s">
        <v>36</v>
      </c>
      <c r="D13" s="2" t="s">
        <v>51</v>
      </c>
      <c r="E13" s="2" t="s">
        <v>43</v>
      </c>
      <c r="F13" s="2" t="s">
        <v>40</v>
      </c>
      <c r="G13" s="2">
        <v>2</v>
      </c>
      <c r="H13" s="22" t="s">
        <v>40</v>
      </c>
    </row>
    <row r="14" spans="2:8" x14ac:dyDescent="0.45">
      <c r="B14" s="3">
        <v>10</v>
      </c>
      <c r="C14" s="3" t="s">
        <v>45</v>
      </c>
      <c r="D14" s="3" t="s">
        <v>52</v>
      </c>
      <c r="E14" s="3" t="s">
        <v>38</v>
      </c>
      <c r="F14" s="3" t="s">
        <v>38</v>
      </c>
      <c r="G14" s="3">
        <v>4</v>
      </c>
      <c r="H14" s="23" t="s">
        <v>39</v>
      </c>
    </row>
    <row r="15" spans="2:8" x14ac:dyDescent="0.45">
      <c r="B15" s="2">
        <v>11</v>
      </c>
      <c r="C15" s="2" t="s">
        <v>36</v>
      </c>
      <c r="D15" s="2" t="s">
        <v>53</v>
      </c>
      <c r="E15" s="2" t="s">
        <v>40</v>
      </c>
      <c r="F15" s="2" t="s">
        <v>40</v>
      </c>
      <c r="G15" s="2">
        <v>10</v>
      </c>
      <c r="H15" s="22" t="s">
        <v>43</v>
      </c>
    </row>
    <row r="16" spans="2:8" x14ac:dyDescent="0.45">
      <c r="B16" s="3">
        <v>12</v>
      </c>
      <c r="C16" s="3" t="s">
        <v>36</v>
      </c>
      <c r="D16" s="3" t="s">
        <v>54</v>
      </c>
      <c r="E16" s="3" t="s">
        <v>40</v>
      </c>
      <c r="F16" s="3" t="s">
        <v>40</v>
      </c>
      <c r="G16" s="3">
        <v>5</v>
      </c>
      <c r="H16" s="23" t="s">
        <v>43</v>
      </c>
    </row>
    <row r="17" spans="2:8" x14ac:dyDescent="0.45">
      <c r="B17" s="2">
        <v>13</v>
      </c>
      <c r="C17" s="2" t="s">
        <v>55</v>
      </c>
      <c r="D17" s="2" t="s">
        <v>56</v>
      </c>
      <c r="E17" s="2" t="s">
        <v>40</v>
      </c>
      <c r="F17" s="2" t="s">
        <v>39</v>
      </c>
      <c r="G17" s="2">
        <v>3</v>
      </c>
      <c r="H17" s="22" t="s">
        <v>43</v>
      </c>
    </row>
    <row r="18" spans="2:8" x14ac:dyDescent="0.45">
      <c r="B18" s="3">
        <v>14</v>
      </c>
      <c r="C18" s="3" t="s">
        <v>41</v>
      </c>
      <c r="D18" s="3" t="s">
        <v>57</v>
      </c>
      <c r="E18" s="3" t="s">
        <v>43</v>
      </c>
      <c r="F18" s="3" t="s">
        <v>43</v>
      </c>
      <c r="G18" s="3">
        <v>6</v>
      </c>
      <c r="H18" s="23" t="s">
        <v>38</v>
      </c>
    </row>
    <row r="19" spans="2:8" x14ac:dyDescent="0.45">
      <c r="B19" s="2">
        <v>15</v>
      </c>
      <c r="C19" s="2" t="s">
        <v>45</v>
      </c>
      <c r="D19" s="2" t="s">
        <v>58</v>
      </c>
      <c r="E19" s="2" t="s">
        <v>39</v>
      </c>
      <c r="F19" s="2" t="s">
        <v>43</v>
      </c>
      <c r="G19" s="2">
        <v>7</v>
      </c>
      <c r="H19" s="22" t="s">
        <v>39</v>
      </c>
    </row>
    <row r="20" spans="2:8" x14ac:dyDescent="0.45">
      <c r="B20" s="3">
        <v>16</v>
      </c>
      <c r="C20" s="3" t="s">
        <v>36</v>
      </c>
      <c r="D20" s="3" t="s">
        <v>59</v>
      </c>
      <c r="E20" s="3" t="s">
        <v>40</v>
      </c>
      <c r="F20" s="3" t="s">
        <v>39</v>
      </c>
      <c r="G20" s="3">
        <v>4</v>
      </c>
      <c r="H20" s="23" t="s">
        <v>43</v>
      </c>
    </row>
    <row r="21" spans="2:8" x14ac:dyDescent="0.45">
      <c r="B21" s="2">
        <v>17</v>
      </c>
      <c r="C21" s="2" t="s">
        <v>36</v>
      </c>
      <c r="D21" s="2" t="s">
        <v>60</v>
      </c>
      <c r="E21" s="2" t="s">
        <v>43</v>
      </c>
      <c r="F21" s="2" t="s">
        <v>40</v>
      </c>
      <c r="G21" s="2">
        <v>12</v>
      </c>
      <c r="H21" s="22" t="s">
        <v>39</v>
      </c>
    </row>
    <row r="22" spans="2:8" x14ac:dyDescent="0.45">
      <c r="B22" s="3">
        <v>18</v>
      </c>
      <c r="C22" s="3" t="s">
        <v>55</v>
      </c>
      <c r="D22" s="3" t="s">
        <v>61</v>
      </c>
      <c r="E22" s="3" t="s">
        <v>38</v>
      </c>
      <c r="F22" s="3" t="s">
        <v>39</v>
      </c>
      <c r="G22" s="3">
        <v>9</v>
      </c>
      <c r="H22" s="23" t="s">
        <v>40</v>
      </c>
    </row>
    <row r="23" spans="2:8" x14ac:dyDescent="0.45">
      <c r="B23" s="2">
        <v>19</v>
      </c>
      <c r="C23" s="2" t="s">
        <v>55</v>
      </c>
      <c r="D23" s="2" t="s">
        <v>62</v>
      </c>
      <c r="E23" s="2" t="s">
        <v>43</v>
      </c>
      <c r="F23" s="2" t="s">
        <v>39</v>
      </c>
      <c r="G23" s="2">
        <v>11</v>
      </c>
      <c r="H23" s="22" t="s">
        <v>40</v>
      </c>
    </row>
    <row r="24" spans="2:8" x14ac:dyDescent="0.45">
      <c r="B24" s="3">
        <v>20</v>
      </c>
      <c r="C24" s="3" t="s">
        <v>36</v>
      </c>
      <c r="D24" s="3" t="s">
        <v>63</v>
      </c>
      <c r="E24" s="3" t="s">
        <v>39</v>
      </c>
      <c r="F24" s="3" t="s">
        <v>39</v>
      </c>
      <c r="G24" s="3">
        <v>2</v>
      </c>
      <c r="H24" s="23" t="s">
        <v>43</v>
      </c>
    </row>
    <row r="25" spans="2:8" x14ac:dyDescent="0.45">
      <c r="B25" s="2">
        <v>21</v>
      </c>
      <c r="C25" s="2" t="s">
        <v>55</v>
      </c>
      <c r="D25" s="2" t="s">
        <v>64</v>
      </c>
      <c r="E25" s="2" t="s">
        <v>39</v>
      </c>
      <c r="F25" s="2" t="s">
        <v>40</v>
      </c>
      <c r="G25" s="2">
        <v>8</v>
      </c>
      <c r="H25" s="22" t="s">
        <v>39</v>
      </c>
    </row>
    <row r="26" spans="2:8" x14ac:dyDescent="0.45">
      <c r="B26" s="3">
        <v>22</v>
      </c>
      <c r="C26" s="3" t="s">
        <v>55</v>
      </c>
      <c r="D26" s="3" t="s">
        <v>65</v>
      </c>
      <c r="E26" s="3" t="s">
        <v>43</v>
      </c>
      <c r="F26" s="3" t="s">
        <v>40</v>
      </c>
      <c r="G26" s="3">
        <v>1</v>
      </c>
      <c r="H26" s="23" t="s">
        <v>43</v>
      </c>
    </row>
    <row r="27" spans="2:8" x14ac:dyDescent="0.45">
      <c r="B27" s="2">
        <v>23</v>
      </c>
      <c r="C27" s="2" t="s">
        <v>36</v>
      </c>
      <c r="D27" s="2" t="s">
        <v>66</v>
      </c>
      <c r="E27" s="2" t="s">
        <v>40</v>
      </c>
      <c r="F27" s="2" t="s">
        <v>40</v>
      </c>
      <c r="G27" s="2">
        <v>11</v>
      </c>
      <c r="H27" s="22" t="s">
        <v>39</v>
      </c>
    </row>
    <row r="28" spans="2:8" x14ac:dyDescent="0.45">
      <c r="B28" s="3">
        <v>24</v>
      </c>
      <c r="C28" s="3" t="s">
        <v>41</v>
      </c>
      <c r="D28" s="3" t="s">
        <v>67</v>
      </c>
      <c r="E28" s="3" t="s">
        <v>38</v>
      </c>
      <c r="F28" s="3" t="s">
        <v>39</v>
      </c>
      <c r="G28" s="3">
        <v>11</v>
      </c>
      <c r="H28" s="23" t="s">
        <v>40</v>
      </c>
    </row>
    <row r="29" spans="2:8" x14ac:dyDescent="0.45">
      <c r="B29" s="2">
        <v>25</v>
      </c>
      <c r="C29" s="2" t="s">
        <v>41</v>
      </c>
      <c r="D29" s="2" t="s">
        <v>68</v>
      </c>
      <c r="E29" s="2" t="s">
        <v>39</v>
      </c>
      <c r="F29" s="2" t="s">
        <v>39</v>
      </c>
      <c r="G29" s="2">
        <v>4</v>
      </c>
      <c r="H29" s="22" t="s">
        <v>38</v>
      </c>
    </row>
    <row r="30" spans="2:8" x14ac:dyDescent="0.45">
      <c r="B30" s="3">
        <v>26</v>
      </c>
      <c r="C30" s="3" t="s">
        <v>36</v>
      </c>
      <c r="D30" s="3" t="s">
        <v>69</v>
      </c>
      <c r="E30" s="3" t="s">
        <v>39</v>
      </c>
      <c r="F30" s="3" t="s">
        <v>40</v>
      </c>
      <c r="G30" s="3">
        <v>9</v>
      </c>
      <c r="H30" s="23" t="s">
        <v>39</v>
      </c>
    </row>
    <row r="31" spans="2:8" x14ac:dyDescent="0.45">
      <c r="B31" s="2">
        <v>27</v>
      </c>
      <c r="C31" s="2" t="s">
        <v>36</v>
      </c>
      <c r="D31" s="2" t="s">
        <v>70</v>
      </c>
      <c r="E31" s="2" t="s">
        <v>43</v>
      </c>
      <c r="F31" s="2" t="s">
        <v>39</v>
      </c>
      <c r="G31" s="2">
        <v>12</v>
      </c>
      <c r="H31" s="22" t="s">
        <v>38</v>
      </c>
    </row>
    <row r="32" spans="2:8" x14ac:dyDescent="0.45">
      <c r="B32" s="3">
        <v>28</v>
      </c>
      <c r="C32" s="3" t="s">
        <v>41</v>
      </c>
      <c r="D32" s="3" t="s">
        <v>71</v>
      </c>
      <c r="E32" s="3" t="s">
        <v>39</v>
      </c>
      <c r="F32" s="3" t="s">
        <v>39</v>
      </c>
      <c r="G32" s="3">
        <v>11</v>
      </c>
      <c r="H32" s="23" t="s">
        <v>43</v>
      </c>
    </row>
    <row r="33" spans="2:8" x14ac:dyDescent="0.45">
      <c r="B33" s="2">
        <v>29</v>
      </c>
      <c r="C33" s="2" t="s">
        <v>45</v>
      </c>
      <c r="D33" s="2" t="s">
        <v>72</v>
      </c>
      <c r="E33" s="2" t="s">
        <v>43</v>
      </c>
      <c r="F33" s="2" t="s">
        <v>39</v>
      </c>
      <c r="G33" s="2">
        <v>1</v>
      </c>
      <c r="H33" s="22" t="s">
        <v>38</v>
      </c>
    </row>
    <row r="34" spans="2:8" x14ac:dyDescent="0.45">
      <c r="B34" s="3">
        <v>30</v>
      </c>
      <c r="C34" s="3" t="s">
        <v>45</v>
      </c>
      <c r="D34" s="3" t="s">
        <v>73</v>
      </c>
      <c r="E34" s="3" t="s">
        <v>38</v>
      </c>
      <c r="F34" s="3" t="s">
        <v>38</v>
      </c>
      <c r="G34" s="3">
        <v>6</v>
      </c>
      <c r="H34" s="23" t="s">
        <v>40</v>
      </c>
    </row>
    <row r="35" spans="2:8" x14ac:dyDescent="0.45">
      <c r="D35" s="2"/>
    </row>
  </sheetData>
  <phoneticPr fontId="5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8.75" x14ac:dyDescent="0.45"/>
  <cols>
    <col min="1" max="11" width="13.109375" customWidth="1"/>
  </cols>
  <sheetData>
    <row r="1" spans="1:10" x14ac:dyDescent="0.45">
      <c r="A1" s="1" t="s">
        <v>74</v>
      </c>
    </row>
    <row r="3" spans="1:10" x14ac:dyDescent="0.45">
      <c r="A3" s="28" t="s">
        <v>29</v>
      </c>
      <c r="B3" s="28" t="s">
        <v>16</v>
      </c>
      <c r="C3" s="28" t="s">
        <v>75</v>
      </c>
      <c r="D3" s="28" t="s">
        <v>76</v>
      </c>
      <c r="E3" s="28" t="s">
        <v>75</v>
      </c>
      <c r="F3" s="28" t="s">
        <v>77</v>
      </c>
      <c r="G3" s="28" t="s">
        <v>78</v>
      </c>
      <c r="H3" s="28" t="s">
        <v>79</v>
      </c>
      <c r="I3" s="28" t="s">
        <v>80</v>
      </c>
      <c r="J3" s="28" t="s">
        <v>81</v>
      </c>
    </row>
    <row r="4" spans="1:10" x14ac:dyDescent="0.45">
      <c r="A4" s="3">
        <v>1</v>
      </c>
      <c r="B4" s="3" t="s">
        <v>82</v>
      </c>
      <c r="C4" s="3" t="s">
        <v>83</v>
      </c>
      <c r="D4" s="3" t="s">
        <v>84</v>
      </c>
      <c r="E4" s="18">
        <v>0.375</v>
      </c>
      <c r="F4" s="3" t="s">
        <v>84</v>
      </c>
      <c r="G4" s="3" t="s">
        <v>84</v>
      </c>
      <c r="H4" s="3" t="s">
        <v>82</v>
      </c>
      <c r="I4" s="3" t="s">
        <v>83</v>
      </c>
      <c r="J4" s="3" t="s">
        <v>84</v>
      </c>
    </row>
    <row r="5" spans="1:10" x14ac:dyDescent="0.45">
      <c r="A5" s="2">
        <v>2</v>
      </c>
      <c r="B5" s="2" t="s">
        <v>82</v>
      </c>
      <c r="C5" s="2" t="s">
        <v>79</v>
      </c>
      <c r="D5" s="2" t="s">
        <v>83</v>
      </c>
      <c r="E5" s="19">
        <v>0.41666666666666669</v>
      </c>
      <c r="F5" s="2" t="s">
        <v>82</v>
      </c>
      <c r="G5" s="2" t="s">
        <v>82</v>
      </c>
      <c r="H5" s="2" t="s">
        <v>82</v>
      </c>
      <c r="I5" s="2" t="s">
        <v>79</v>
      </c>
      <c r="J5" s="2" t="s">
        <v>83</v>
      </c>
    </row>
    <row r="6" spans="1:10" x14ac:dyDescent="0.45">
      <c r="A6" s="3">
        <v>3</v>
      </c>
      <c r="B6" s="3" t="s">
        <v>83</v>
      </c>
      <c r="C6" s="3" t="s">
        <v>83</v>
      </c>
      <c r="D6" s="3" t="s">
        <v>82</v>
      </c>
      <c r="E6" s="18">
        <v>0.45833333333333331</v>
      </c>
      <c r="F6" s="3" t="s">
        <v>82</v>
      </c>
      <c r="G6" s="3" t="s">
        <v>79</v>
      </c>
      <c r="H6" s="3" t="s">
        <v>79</v>
      </c>
      <c r="I6" s="3" t="s">
        <v>84</v>
      </c>
      <c r="J6" s="3" t="s">
        <v>79</v>
      </c>
    </row>
    <row r="7" spans="1:10" x14ac:dyDescent="0.45">
      <c r="A7" s="2">
        <v>4</v>
      </c>
      <c r="B7" s="2" t="s">
        <v>82</v>
      </c>
      <c r="C7" s="2" t="s">
        <v>83</v>
      </c>
      <c r="D7" s="2" t="s">
        <v>83</v>
      </c>
      <c r="E7" s="19">
        <v>0.5</v>
      </c>
      <c r="F7" s="2" t="s">
        <v>79</v>
      </c>
      <c r="G7" s="2" t="s">
        <v>84</v>
      </c>
      <c r="H7" s="2" t="s">
        <v>79</v>
      </c>
      <c r="I7" s="2" t="s">
        <v>84</v>
      </c>
      <c r="J7" s="2" t="s">
        <v>79</v>
      </c>
    </row>
    <row r="8" spans="1:10" x14ac:dyDescent="0.45">
      <c r="A8" s="3">
        <v>5</v>
      </c>
      <c r="B8" s="3" t="s">
        <v>83</v>
      </c>
      <c r="C8" s="3" t="s">
        <v>79</v>
      </c>
      <c r="D8" s="3" t="s">
        <v>84</v>
      </c>
      <c r="E8" s="18">
        <v>0.54166666666666663</v>
      </c>
      <c r="F8" s="3" t="s">
        <v>82</v>
      </c>
      <c r="G8" s="3" t="s">
        <v>83</v>
      </c>
      <c r="H8" s="3" t="s">
        <v>79</v>
      </c>
      <c r="I8" s="3" t="s">
        <v>83</v>
      </c>
      <c r="J8" s="3" t="s">
        <v>83</v>
      </c>
    </row>
    <row r="9" spans="1:10" x14ac:dyDescent="0.45">
      <c r="A9" s="2">
        <v>6</v>
      </c>
      <c r="B9" s="2" t="s">
        <v>82</v>
      </c>
      <c r="C9" s="2" t="s">
        <v>83</v>
      </c>
      <c r="D9" s="2" t="s">
        <v>79</v>
      </c>
      <c r="E9" s="19">
        <v>0.58333333333333337</v>
      </c>
      <c r="F9" s="2" t="s">
        <v>82</v>
      </c>
      <c r="G9" s="2" t="s">
        <v>84</v>
      </c>
      <c r="H9" s="2" t="s">
        <v>79</v>
      </c>
      <c r="I9" s="2" t="s">
        <v>84</v>
      </c>
      <c r="J9" s="2" t="s">
        <v>79</v>
      </c>
    </row>
    <row r="10" spans="1:10" x14ac:dyDescent="0.45">
      <c r="A10" s="3">
        <v>7</v>
      </c>
      <c r="B10" s="3" t="s">
        <v>82</v>
      </c>
      <c r="C10" s="3" t="s">
        <v>79</v>
      </c>
      <c r="D10" s="3" t="s">
        <v>84</v>
      </c>
      <c r="E10" s="18">
        <v>0.625</v>
      </c>
      <c r="F10" s="3" t="s">
        <v>83</v>
      </c>
      <c r="G10" s="3" t="s">
        <v>79</v>
      </c>
      <c r="H10" s="3" t="s">
        <v>83</v>
      </c>
      <c r="I10" s="3" t="s">
        <v>83</v>
      </c>
      <c r="J10" s="3" t="s">
        <v>79</v>
      </c>
    </row>
    <row r="11" spans="1:10" x14ac:dyDescent="0.45">
      <c r="E11" s="4"/>
    </row>
  </sheetData>
  <phoneticPr fontId="5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6"/>
  <sheetViews>
    <sheetView workbookViewId="0">
      <selection activeCell="E10" sqref="E10"/>
    </sheetView>
  </sheetViews>
  <sheetFormatPr defaultRowHeight="18.75" x14ac:dyDescent="0.45"/>
  <cols>
    <col min="1" max="1" width="10.109375" customWidth="1"/>
    <col min="2" max="2" width="18.109375" customWidth="1"/>
    <col min="3" max="4" width="12.109375" customWidth="1"/>
    <col min="5" max="5" width="24.109375" customWidth="1"/>
    <col min="6" max="6" width="12.109375" customWidth="1"/>
  </cols>
  <sheetData>
    <row r="2" spans="1:6" x14ac:dyDescent="0.45">
      <c r="A2" s="29" t="s">
        <v>85</v>
      </c>
      <c r="B2" s="29"/>
      <c r="C2" s="29"/>
      <c r="D2" s="29"/>
      <c r="E2" s="29"/>
      <c r="F2" s="29"/>
    </row>
    <row r="4" spans="1:6" s="21" customFormat="1" x14ac:dyDescent="0.45">
      <c r="A4" s="25" t="s">
        <v>145</v>
      </c>
      <c r="B4" s="26" t="s">
        <v>32</v>
      </c>
      <c r="C4" s="26" t="s">
        <v>16</v>
      </c>
      <c r="D4" s="26" t="s">
        <v>86</v>
      </c>
      <c r="E4" s="26" t="s">
        <v>87</v>
      </c>
      <c r="F4" s="27" t="s">
        <v>77</v>
      </c>
    </row>
    <row r="5" spans="1:6" x14ac:dyDescent="0.45">
      <c r="A5">
        <v>483921</v>
      </c>
      <c r="B5" s="2" t="s">
        <v>88</v>
      </c>
      <c r="C5" s="2" t="s">
        <v>89</v>
      </c>
      <c r="D5" s="20">
        <v>46115</v>
      </c>
      <c r="E5" s="2" t="s">
        <v>90</v>
      </c>
      <c r="F5" s="2" t="s">
        <v>91</v>
      </c>
    </row>
    <row r="6" spans="1:6" x14ac:dyDescent="0.45">
      <c r="A6">
        <v>105674</v>
      </c>
      <c r="B6" s="2" t="s">
        <v>92</v>
      </c>
      <c r="C6" s="2" t="s">
        <v>93</v>
      </c>
      <c r="D6" s="20">
        <v>46155</v>
      </c>
      <c r="E6" s="2" t="s">
        <v>94</v>
      </c>
      <c r="F6" s="2" t="s">
        <v>95</v>
      </c>
    </row>
    <row r="7" spans="1:6" x14ac:dyDescent="0.45">
      <c r="A7">
        <v>739158</v>
      </c>
      <c r="B7" s="2" t="s">
        <v>96</v>
      </c>
      <c r="C7" s="2" t="s">
        <v>89</v>
      </c>
      <c r="D7" s="20">
        <v>46137</v>
      </c>
      <c r="E7" s="2" t="s">
        <v>97</v>
      </c>
      <c r="F7" s="2" t="s">
        <v>95</v>
      </c>
    </row>
    <row r="8" spans="1:6" x14ac:dyDescent="0.45">
      <c r="A8">
        <v>264803</v>
      </c>
      <c r="B8" s="2" t="s">
        <v>98</v>
      </c>
      <c r="C8" s="2" t="s">
        <v>99</v>
      </c>
      <c r="D8" s="20">
        <v>46143</v>
      </c>
      <c r="E8" s="2" t="s">
        <v>100</v>
      </c>
      <c r="F8" s="2" t="s">
        <v>91</v>
      </c>
    </row>
    <row r="9" spans="1:6" x14ac:dyDescent="0.45">
      <c r="A9">
        <v>918372</v>
      </c>
      <c r="B9" s="2" t="s">
        <v>101</v>
      </c>
      <c r="C9" s="2" t="s">
        <v>93</v>
      </c>
      <c r="D9" s="20">
        <v>46055</v>
      </c>
      <c r="E9" s="2" t="s">
        <v>102</v>
      </c>
      <c r="F9" s="2" t="s">
        <v>95</v>
      </c>
    </row>
    <row r="10" spans="1:6" x14ac:dyDescent="0.45">
      <c r="A10">
        <v>350716</v>
      </c>
      <c r="B10" s="2" t="s">
        <v>106</v>
      </c>
      <c r="C10" s="2" t="s">
        <v>89</v>
      </c>
      <c r="D10" s="20">
        <v>46105</v>
      </c>
      <c r="E10" s="2" t="s">
        <v>107</v>
      </c>
      <c r="F10" s="2" t="s">
        <v>95</v>
      </c>
    </row>
    <row r="11" spans="1:6" x14ac:dyDescent="0.45">
      <c r="A11">
        <v>671294</v>
      </c>
      <c r="B11" s="2" t="s">
        <v>108</v>
      </c>
      <c r="C11" s="2" t="s">
        <v>99</v>
      </c>
      <c r="D11" s="20">
        <v>46089</v>
      </c>
      <c r="E11" s="2" t="s">
        <v>109</v>
      </c>
      <c r="F11" s="2" t="s">
        <v>95</v>
      </c>
    </row>
    <row r="12" spans="1:6" x14ac:dyDescent="0.45">
      <c r="A12">
        <v>842531</v>
      </c>
      <c r="B12" s="2" t="s">
        <v>110</v>
      </c>
      <c r="C12" s="2" t="s">
        <v>111</v>
      </c>
      <c r="D12" s="20">
        <v>46023</v>
      </c>
      <c r="E12" s="2" t="s">
        <v>112</v>
      </c>
      <c r="F12" s="2" t="s">
        <v>91</v>
      </c>
    </row>
    <row r="13" spans="1:6" x14ac:dyDescent="0.45">
      <c r="A13">
        <v>197465</v>
      </c>
      <c r="B13" s="2" t="s">
        <v>113</v>
      </c>
      <c r="C13" s="2" t="s">
        <v>99</v>
      </c>
      <c r="D13" s="20">
        <v>46066</v>
      </c>
      <c r="E13" s="2" t="s">
        <v>114</v>
      </c>
      <c r="F13" s="2" t="s">
        <v>91</v>
      </c>
    </row>
    <row r="14" spans="1:6" x14ac:dyDescent="0.45">
      <c r="A14">
        <v>526908</v>
      </c>
      <c r="B14" s="2" t="s">
        <v>115</v>
      </c>
      <c r="C14" s="2" t="s">
        <v>99</v>
      </c>
      <c r="D14" s="20">
        <v>46129</v>
      </c>
      <c r="E14" s="2" t="s">
        <v>116</v>
      </c>
      <c r="F14" s="2" t="s">
        <v>91</v>
      </c>
    </row>
    <row r="15" spans="1:6" x14ac:dyDescent="0.45">
      <c r="A15">
        <v>403817</v>
      </c>
      <c r="B15" s="2" t="s">
        <v>117</v>
      </c>
      <c r="C15" s="2" t="s">
        <v>99</v>
      </c>
      <c r="D15" s="20">
        <v>46166</v>
      </c>
      <c r="E15" s="2" t="s">
        <v>118</v>
      </c>
      <c r="F15" s="2" t="s">
        <v>105</v>
      </c>
    </row>
    <row r="16" spans="1:6" x14ac:dyDescent="0.45">
      <c r="A16">
        <v>785143</v>
      </c>
      <c r="B16" s="2" t="s">
        <v>103</v>
      </c>
      <c r="C16" s="2" t="s">
        <v>93</v>
      </c>
      <c r="D16" s="20">
        <v>46183</v>
      </c>
      <c r="E16" s="2" t="s">
        <v>104</v>
      </c>
      <c r="F16" s="2" t="s">
        <v>105</v>
      </c>
    </row>
    <row r="17" spans="1:6" x14ac:dyDescent="0.45">
      <c r="A17">
        <v>219684</v>
      </c>
      <c r="B17" s="2" t="s">
        <v>119</v>
      </c>
      <c r="C17" s="2" t="s">
        <v>99</v>
      </c>
      <c r="D17" s="20">
        <v>46055</v>
      </c>
      <c r="E17" s="2" t="s">
        <v>120</v>
      </c>
      <c r="F17" s="2" t="s">
        <v>105</v>
      </c>
    </row>
    <row r="18" spans="1:6" x14ac:dyDescent="0.45">
      <c r="A18">
        <v>634052</v>
      </c>
      <c r="B18" s="2" t="s">
        <v>121</v>
      </c>
      <c r="C18" s="2" t="s">
        <v>89</v>
      </c>
      <c r="D18" s="20">
        <v>46176</v>
      </c>
      <c r="E18" s="2" t="s">
        <v>122</v>
      </c>
      <c r="F18" s="2" t="s">
        <v>105</v>
      </c>
    </row>
    <row r="19" spans="1:6" x14ac:dyDescent="0.45">
      <c r="A19">
        <v>951736</v>
      </c>
      <c r="B19" s="2" t="s">
        <v>123</v>
      </c>
      <c r="C19" s="2" t="s">
        <v>93</v>
      </c>
      <c r="D19" s="20">
        <v>46136</v>
      </c>
      <c r="E19" s="2" t="s">
        <v>124</v>
      </c>
      <c r="F19" s="2" t="s">
        <v>91</v>
      </c>
    </row>
    <row r="20" spans="1:6" x14ac:dyDescent="0.45">
      <c r="A20">
        <v>148295</v>
      </c>
      <c r="B20" s="2" t="s">
        <v>125</v>
      </c>
      <c r="C20" s="2" t="s">
        <v>111</v>
      </c>
      <c r="D20" s="20">
        <v>46194</v>
      </c>
      <c r="E20" s="2" t="s">
        <v>126</v>
      </c>
      <c r="F20" s="2" t="s">
        <v>105</v>
      </c>
    </row>
    <row r="21" spans="1:6" x14ac:dyDescent="0.45">
      <c r="A21">
        <v>870641</v>
      </c>
      <c r="B21" s="2" t="s">
        <v>127</v>
      </c>
      <c r="C21" s="2" t="s">
        <v>89</v>
      </c>
      <c r="D21" s="20">
        <v>46157</v>
      </c>
      <c r="E21" s="2" t="s">
        <v>128</v>
      </c>
      <c r="F21" s="2" t="s">
        <v>91</v>
      </c>
    </row>
    <row r="22" spans="1:6" x14ac:dyDescent="0.45">
      <c r="A22">
        <v>392578</v>
      </c>
      <c r="B22" s="2" t="s">
        <v>129</v>
      </c>
      <c r="C22" s="2" t="s">
        <v>89</v>
      </c>
      <c r="D22" s="20">
        <v>46085</v>
      </c>
      <c r="E22" s="2" t="s">
        <v>130</v>
      </c>
      <c r="F22" s="2" t="s">
        <v>105</v>
      </c>
    </row>
    <row r="23" spans="1:6" x14ac:dyDescent="0.45">
      <c r="A23">
        <v>561430</v>
      </c>
      <c r="B23" s="2" t="s">
        <v>131</v>
      </c>
      <c r="C23" s="2" t="s">
        <v>93</v>
      </c>
      <c r="D23" s="20">
        <v>46113</v>
      </c>
      <c r="E23" s="2" t="s">
        <v>132</v>
      </c>
      <c r="F23" s="2" t="s">
        <v>91</v>
      </c>
    </row>
    <row r="24" spans="1:6" x14ac:dyDescent="0.45">
      <c r="A24">
        <v>726819</v>
      </c>
      <c r="B24" s="2" t="s">
        <v>133</v>
      </c>
      <c r="C24" s="2" t="s">
        <v>93</v>
      </c>
      <c r="D24" s="20">
        <v>46115</v>
      </c>
      <c r="E24" s="2" t="s">
        <v>134</v>
      </c>
      <c r="F24" s="2" t="s">
        <v>105</v>
      </c>
    </row>
    <row r="25" spans="1:6" x14ac:dyDescent="0.45">
      <c r="A25">
        <v>834957</v>
      </c>
      <c r="B25" s="2" t="s">
        <v>135</v>
      </c>
      <c r="C25" s="2" t="s">
        <v>111</v>
      </c>
      <c r="D25" s="20">
        <v>46178</v>
      </c>
      <c r="E25" s="2" t="s">
        <v>136</v>
      </c>
      <c r="F25" s="2" t="s">
        <v>105</v>
      </c>
    </row>
    <row r="26" spans="1:6" x14ac:dyDescent="0.45">
      <c r="A26">
        <v>287163</v>
      </c>
      <c r="B26" s="2" t="s">
        <v>137</v>
      </c>
      <c r="C26" s="2" t="s">
        <v>111</v>
      </c>
      <c r="D26" s="20">
        <v>46194</v>
      </c>
      <c r="E26" s="2" t="s">
        <v>138</v>
      </c>
      <c r="F26" s="2" t="s">
        <v>95</v>
      </c>
    </row>
  </sheetData>
  <mergeCells count="1">
    <mergeCell ref="A2:F2"/>
  </mergeCells>
  <phoneticPr fontId="5"/>
  <pageMargins left="0.75" right="0.75" top="1" bottom="1" header="0.5" footer="0.5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887355-03AF-420E-98D7-E59E7E84F6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国内ツアー売上</vt:lpstr>
      <vt:lpstr>地域別売上</vt:lpstr>
      <vt:lpstr>ガイド名簿</vt:lpstr>
      <vt:lpstr>出発時刻表</vt:lpstr>
      <vt:lpstr>ツアー参加者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MOS_類題_project2_配置別_セット4_旅行</dc:title>
  <dc:subject>MOS Excel 365 スペシャリスト類題 Project2</dc:subject>
  <dc:creator>Microsoft 365 Copilot</dc:creator>
  <cp:lastModifiedBy>rabbit</cp:lastModifiedBy>
  <dcterms:created xsi:type="dcterms:W3CDTF">2026-06-24T09:04:31Z</dcterms:created>
  <dcterms:modified xsi:type="dcterms:W3CDTF">2026-07-06T07:06:02Z</dcterms:modified>
</cp:coreProperties>
</file>