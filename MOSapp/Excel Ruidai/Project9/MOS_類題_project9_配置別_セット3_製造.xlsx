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5)Rabbit\類題問題\★完成\類題 操作ファイル\"/>
    </mc:Choice>
  </mc:AlternateContent>
  <xr:revisionPtr revIDLastSave="0" documentId="13_ncr:1_{8D406F38-8DFE-45D7-89A7-62322DEA7F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社員名簿" sheetId="2" r:id="rId1"/>
    <sheet name="生産集計報告" sheetId="3" r:id="rId2"/>
    <sheet name="取引先リスト" sheetId="4" r:id="rId3"/>
    <sheet name="設定" sheetId="6" r:id="rId4"/>
    <sheet name="見学申込" sheetId="5" r:id="rId5"/>
  </sheets>
  <definedNames>
    <definedName name="見学ライン">見学申込!#REF!</definedName>
    <definedName name="出荷数">生産集計報告!$C$5:$C$24</definedName>
    <definedName name="出荷率">生産集計報告!$F$5:$F$24</definedName>
    <definedName name="本社">設定!$B$5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G5" i="3" s="1"/>
  <c r="F5" i="3"/>
  <c r="E6" i="3"/>
  <c r="G6" i="3" s="1"/>
  <c r="F6" i="3"/>
  <c r="E7" i="3"/>
  <c r="G7" i="3" s="1"/>
  <c r="F7" i="3"/>
  <c r="E8" i="3"/>
  <c r="F8" i="3"/>
  <c r="G8" i="3"/>
  <c r="E9" i="3"/>
  <c r="G9" i="3" s="1"/>
  <c r="F9" i="3"/>
  <c r="E10" i="3"/>
  <c r="G10" i="3" s="1"/>
  <c r="F10" i="3"/>
  <c r="E11" i="3"/>
  <c r="G11" i="3" s="1"/>
  <c r="F11" i="3"/>
  <c r="E12" i="3"/>
  <c r="G12" i="3" s="1"/>
  <c r="F12" i="3"/>
  <c r="E13" i="3"/>
  <c r="G13" i="3" s="1"/>
  <c r="F13" i="3"/>
  <c r="E14" i="3"/>
  <c r="F14" i="3"/>
  <c r="G14" i="3"/>
  <c r="E15" i="3"/>
  <c r="G15" i="3" s="1"/>
  <c r="F15" i="3"/>
  <c r="E16" i="3"/>
  <c r="F16" i="3"/>
  <c r="G16" i="3"/>
  <c r="E17" i="3"/>
  <c r="G17" i="3" s="1"/>
  <c r="F17" i="3"/>
  <c r="E18" i="3"/>
  <c r="F18" i="3"/>
  <c r="G18" i="3"/>
  <c r="E19" i="3"/>
  <c r="F19" i="3"/>
  <c r="G19" i="3"/>
  <c r="E20" i="3"/>
  <c r="G20" i="3" s="1"/>
  <c r="F20" i="3"/>
  <c r="E21" i="3"/>
  <c r="G21" i="3" s="1"/>
  <c r="F21" i="3"/>
  <c r="E22" i="3"/>
  <c r="G22" i="3" s="1"/>
  <c r="F22" i="3"/>
  <c r="E23" i="3"/>
  <c r="F23" i="3"/>
  <c r="G23" i="3"/>
  <c r="E24" i="3"/>
  <c r="G24" i="3" s="1"/>
  <c r="F24" i="3"/>
</calcChain>
</file>

<file path=xl/sharedStrings.xml><?xml version="1.0" encoding="utf-8"?>
<sst xmlns="http://schemas.openxmlformats.org/spreadsheetml/2006/main" count="382" uniqueCount="268">
  <si>
    <t>No</t>
  </si>
  <si>
    <t>工場</t>
  </si>
  <si>
    <t>ライン</t>
  </si>
  <si>
    <t>作業者名</t>
  </si>
  <si>
    <t>工程</t>
  </si>
  <si>
    <t>等級</t>
  </si>
  <si>
    <t>備考</t>
  </si>
  <si>
    <t>第二</t>
  </si>
  <si>
    <t>包装</t>
  </si>
  <si>
    <t>加藤凛</t>
  </si>
  <si>
    <t>加工</t>
  </si>
  <si>
    <t>A</t>
  </si>
  <si>
    <t>第一</t>
  </si>
  <si>
    <t>木村奏</t>
  </si>
  <si>
    <t>準備</t>
  </si>
  <si>
    <t>B</t>
  </si>
  <si>
    <t>東</t>
  </si>
  <si>
    <t>検査</t>
  </si>
  <si>
    <t>小林澪</t>
  </si>
  <si>
    <t>C</t>
  </si>
  <si>
    <t>斎藤湊</t>
  </si>
  <si>
    <t>南</t>
  </si>
  <si>
    <t>佐々木杏</t>
  </si>
  <si>
    <t>西</t>
  </si>
  <si>
    <t>組立</t>
  </si>
  <si>
    <t>清水悠真</t>
  </si>
  <si>
    <t>高橋結菜</t>
  </si>
  <si>
    <t>田中陽斗</t>
  </si>
  <si>
    <t>中村紬</t>
  </si>
  <si>
    <t>林大翔</t>
  </si>
  <si>
    <t>藤井美月</t>
  </si>
  <si>
    <t>出荷</t>
  </si>
  <si>
    <t>松本蒼</t>
  </si>
  <si>
    <t>森田琴音</t>
  </si>
  <si>
    <t>山口樹</t>
  </si>
  <si>
    <t>吉田莉子</t>
  </si>
  <si>
    <t>渡辺晴</t>
  </si>
  <si>
    <t>伊藤芽依</t>
  </si>
  <si>
    <t>岡田陸</t>
  </si>
  <si>
    <t>近藤沙耶</t>
  </si>
  <si>
    <t>長谷川翼</t>
  </si>
  <si>
    <t>申込ID</t>
  </si>
  <si>
    <t>氏名</t>
  </si>
  <si>
    <t>人数</t>
  </si>
  <si>
    <t>AP3-001</t>
  </si>
  <si>
    <t>AP3-002</t>
  </si>
  <si>
    <t>AP3-003</t>
  </si>
  <si>
    <t>AP3-004</t>
  </si>
  <si>
    <t>AP3-005</t>
  </si>
  <si>
    <t>AP3-006</t>
  </si>
  <si>
    <t>AP3-007</t>
  </si>
  <si>
    <t>AP3-008</t>
  </si>
  <si>
    <t>AP3-009</t>
  </si>
  <si>
    <t>AP3-010</t>
  </si>
  <si>
    <t>AP3-011</t>
  </si>
  <si>
    <t>青木遥</t>
  </si>
  <si>
    <t>AP3-012</t>
  </si>
  <si>
    <t>石川蓮</t>
  </si>
  <si>
    <t>AP3-013</t>
  </si>
  <si>
    <t>上田葵</t>
  </si>
  <si>
    <t>AP3-014</t>
  </si>
  <si>
    <t>大森颯</t>
  </si>
  <si>
    <t>AP3-015</t>
  </si>
  <si>
    <t>工場別作業者一覧</t>
    <rPh sb="0" eb="2">
      <t>コウジョウ</t>
    </rPh>
    <rPh sb="2" eb="3">
      <t>ベツ</t>
    </rPh>
    <rPh sb="3" eb="6">
      <t>サギョウシャ</t>
    </rPh>
    <rPh sb="6" eb="8">
      <t>イチラン</t>
    </rPh>
    <phoneticPr fontId="2"/>
  </si>
  <si>
    <t>製品名</t>
  </si>
  <si>
    <t>生産数</t>
  </si>
  <si>
    <t>出荷数</t>
  </si>
  <si>
    <t>不良数</t>
  </si>
  <si>
    <t>生産率</t>
  </si>
  <si>
    <t>出荷率</t>
  </si>
  <si>
    <t>不良率</t>
  </si>
  <si>
    <t>ベアリング</t>
  </si>
  <si>
    <t>ボルト</t>
  </si>
  <si>
    <t>ナット</t>
  </si>
  <si>
    <t>モーター</t>
  </si>
  <si>
    <t>センサー</t>
  </si>
  <si>
    <t>基板</t>
  </si>
  <si>
    <t>シャフト</t>
  </si>
  <si>
    <t>ギア</t>
  </si>
  <si>
    <t>ケース</t>
  </si>
  <si>
    <t>カバー</t>
  </si>
  <si>
    <t>ハンドル</t>
  </si>
  <si>
    <t>バルブ</t>
  </si>
  <si>
    <t>パッキン</t>
  </si>
  <si>
    <t>フレーム</t>
  </si>
  <si>
    <t>ブラケット</t>
  </si>
  <si>
    <t>パネル</t>
  </si>
  <si>
    <t>コネクタ</t>
  </si>
  <si>
    <t>ケーブル</t>
  </si>
  <si>
    <t>スイッチ</t>
  </si>
  <si>
    <t>リレー</t>
  </si>
  <si>
    <t>連番</t>
  </si>
  <si>
    <t>会社名</t>
  </si>
  <si>
    <t>担当者</t>
  </si>
  <si>
    <t>業種</t>
  </si>
  <si>
    <t>都道府県</t>
  </si>
  <si>
    <t>電話番号</t>
  </si>
  <si>
    <t>表示番号</t>
  </si>
  <si>
    <t>山田 太郎</t>
  </si>
  <si>
    <t>IT</t>
  </si>
  <si>
    <t>愛知県</t>
  </si>
  <si>
    <t>052-201-1001</t>
  </si>
  <si>
    <t>鈴木 花子</t>
  </si>
  <si>
    <t>物流</t>
  </si>
  <si>
    <t>058-210-1002</t>
  </si>
  <si>
    <t>佐藤 健</t>
  </si>
  <si>
    <t>商社</t>
  </si>
  <si>
    <t>052-211-1003</t>
  </si>
  <si>
    <t>セントラル食品株式会社</t>
  </si>
  <si>
    <t>高橋 美咲</t>
  </si>
  <si>
    <t>食品</t>
  </si>
  <si>
    <t>059-221-1004</t>
  </si>
  <si>
    <t>伊藤 誠</t>
  </si>
  <si>
    <t>建設</t>
  </si>
  <si>
    <t>052-222-1005</t>
  </si>
  <si>
    <t>グリーン農産株式会社</t>
  </si>
  <si>
    <t>加藤 翼</t>
  </si>
  <si>
    <t>農業</t>
  </si>
  <si>
    <t>058-231-1006</t>
  </si>
  <si>
    <t>渡辺 優</t>
  </si>
  <si>
    <t>印刷</t>
  </si>
  <si>
    <t>052-233-1007</t>
  </si>
  <si>
    <t>日本機械工業株式会社</t>
  </si>
  <si>
    <t>小林 直樹</t>
  </si>
  <si>
    <t>製造</t>
  </si>
  <si>
    <t>静岡県</t>
  </si>
  <si>
    <t>053-241-1008</t>
  </si>
  <si>
    <t>オリオン電子株式会社</t>
  </si>
  <si>
    <t>吉田 彩</t>
  </si>
  <si>
    <t>電子機器</t>
  </si>
  <si>
    <t>052-244-1009</t>
  </si>
  <si>
    <t>サンライト企画株式会社</t>
  </si>
  <si>
    <t>松本 恒一</t>
  </si>
  <si>
    <t>広告</t>
  </si>
  <si>
    <t>052-255-1010</t>
  </si>
  <si>
    <t>未来教育サービス株式会社</t>
  </si>
  <si>
    <t>中村 美穂</t>
  </si>
  <si>
    <t>教育</t>
  </si>
  <si>
    <t>058-265-1011</t>
  </si>
  <si>
    <t>フレッシュ青果株式会社</t>
  </si>
  <si>
    <t>木村 恒一</t>
  </si>
  <si>
    <t>卸売</t>
  </si>
  <si>
    <t>059-275-1012</t>
  </si>
  <si>
    <t>清水 亮</t>
  </si>
  <si>
    <t>自動車</t>
  </si>
  <si>
    <t>052-286-1013</t>
  </si>
  <si>
    <t>東洋メディカル株式会社</t>
  </si>
  <si>
    <t>石川 真理</t>
  </si>
  <si>
    <t>医療</t>
  </si>
  <si>
    <t>052-297-1014</t>
  </si>
  <si>
    <t>あさひ保険サービス株式会社</t>
  </si>
  <si>
    <t>森本 翔</t>
  </si>
  <si>
    <t>保険</t>
  </si>
  <si>
    <t>058-308-1015</t>
  </si>
  <si>
    <t>ライフサポート株式会社</t>
  </si>
  <si>
    <t>近藤 愛</t>
  </si>
  <si>
    <t>福祉</t>
  </si>
  <si>
    <t>052-319-1016</t>
  </si>
  <si>
    <t>エースオフィス株式会社</t>
  </si>
  <si>
    <t>岡田 恒一</t>
  </si>
  <si>
    <t>事務機器</t>
  </si>
  <si>
    <t>053-330-1017</t>
  </si>
  <si>
    <t>北斗エンジニアリング株式会社</t>
  </si>
  <si>
    <t>藤井 誠</t>
  </si>
  <si>
    <t>機械</t>
  </si>
  <si>
    <t>052-341-1018</t>
  </si>
  <si>
    <t>フューチャー通信株式会社</t>
  </si>
  <si>
    <t>西村 彩</t>
  </si>
  <si>
    <t>通信</t>
  </si>
  <si>
    <t>059-352-1019</t>
  </si>
  <si>
    <t>スマイル介護株式会社</t>
  </si>
  <si>
    <t>原田 直樹</t>
  </si>
  <si>
    <t>介護</t>
  </si>
  <si>
    <t>052-363-1020</t>
  </si>
  <si>
    <t>大和設備株式会社</t>
  </si>
  <si>
    <t>福田 翼</t>
  </si>
  <si>
    <t>設備</t>
  </si>
  <si>
    <t>058-374-1021</t>
  </si>
  <si>
    <t>シティ観光株式会社</t>
  </si>
  <si>
    <t>橋本 美咲</t>
  </si>
  <si>
    <t>観光</t>
  </si>
  <si>
    <t>052-385-1022</t>
  </si>
  <si>
    <t>ブルースカイ航空株式会社</t>
  </si>
  <si>
    <t>阿部 恒一</t>
  </si>
  <si>
    <t>航空</t>
  </si>
  <si>
    <t>東京都</t>
  </si>
  <si>
    <t>03-396-1023</t>
  </si>
  <si>
    <t>アルファソフト株式会社</t>
  </si>
  <si>
    <t>前田 健</t>
  </si>
  <si>
    <t>ソフトウェア</t>
  </si>
  <si>
    <t>052-407-1024</t>
  </si>
  <si>
    <t>ネクストパートナー株式会社</t>
  </si>
  <si>
    <t>竹内 花</t>
  </si>
  <si>
    <t>コンサル</t>
  </si>
  <si>
    <t>052-418-1025</t>
  </si>
  <si>
    <t>主 要 取 引 先 一　覧</t>
    <rPh sb="0" eb="1">
      <t>シュ</t>
    </rPh>
    <rPh sb="2" eb="3">
      <t>ヨウ</t>
    </rPh>
    <rPh sb="4" eb="5">
      <t>トリ</t>
    </rPh>
    <rPh sb="6" eb="7">
      <t>イン</t>
    </rPh>
    <rPh sb="8" eb="9">
      <t>サキ</t>
    </rPh>
    <phoneticPr fontId="2"/>
  </si>
  <si>
    <t>項目</t>
  </si>
  <si>
    <t>設定値</t>
  </si>
  <si>
    <t>郵便番号</t>
  </si>
  <si>
    <t>住所</t>
  </si>
  <si>
    <t>代表電話</t>
  </si>
  <si>
    <t>FAX</t>
  </si>
  <si>
    <t>代表メール</t>
  </si>
  <si>
    <t>営業開始</t>
  </si>
  <si>
    <t>営業終了</t>
  </si>
  <si>
    <t>定休日</t>
  </si>
  <si>
    <t>土日祝</t>
  </si>
  <si>
    <t>社員数</t>
  </si>
  <si>
    <t>登録取引先</t>
  </si>
  <si>
    <t>更新日</t>
  </si>
  <si>
    <t>バックアップ先</t>
  </si>
  <si>
    <t>Microsoft 365</t>
  </si>
  <si>
    <t>ライセンス</t>
  </si>
  <si>
    <t>Business Standard</t>
  </si>
  <si>
    <t>サーバー名</t>
  </si>
  <si>
    <t>データベース</t>
  </si>
  <si>
    <t>SALES_DB</t>
  </si>
  <si>
    <t>プリンター</t>
  </si>
  <si>
    <t>Canon iR-ADV</t>
  </si>
  <si>
    <t>ネットワーク</t>
  </si>
  <si>
    <t>東京都千代田区丸の内1-1-1</t>
  </si>
  <si>
    <t>株式会社東京ビジネスソリューション</t>
  </si>
  <si>
    <t>本社</t>
  </si>
  <si>
    <t>東京都千代田区</t>
  </si>
  <si>
    <t>100-0005</t>
  </si>
  <si>
    <t>03-5210-1000</t>
  </si>
  <si>
    <t>03-5210-1001</t>
  </si>
  <si>
    <t>info@tokyo-bs.co.jp</t>
  </si>
  <si>
    <t>管理責任者</t>
  </si>
  <si>
    <t>副責任者</t>
  </si>
  <si>
    <t>登録商品数</t>
  </si>
  <si>
    <t>TOKYO-SRV01</t>
  </si>
  <si>
    <t>使用システム</t>
  </si>
  <si>
    <t>D:\Backup</t>
  </si>
  <si>
    <t>東京本社LAN</t>
  </si>
  <si>
    <t>毎日23:00自動バックアップ</t>
  </si>
  <si>
    <t>見学希望一覧</t>
    <rPh sb="0" eb="2">
      <t>ケンガク</t>
    </rPh>
    <rPh sb="2" eb="4">
      <t>キボウ</t>
    </rPh>
    <rPh sb="4" eb="6">
      <t>イチラン</t>
    </rPh>
    <phoneticPr fontId="2"/>
  </si>
  <si>
    <t>関西自動車販売株式会社</t>
  </si>
  <si>
    <t>横浜商事株式会社</t>
  </si>
  <si>
    <t>北陸建設株式会社</t>
  </si>
  <si>
    <t>北九州物流株式会社</t>
  </si>
  <si>
    <t>札幌システム株式会社</t>
  </si>
  <si>
    <t>関西印刷株式会社</t>
  </si>
  <si>
    <t>神奈川県</t>
  </si>
  <si>
    <t>北海道</t>
  </si>
  <si>
    <t>石川県</t>
  </si>
  <si>
    <t>福岡県</t>
  </si>
  <si>
    <t>宮崎県</t>
  </si>
  <si>
    <t>大阪府</t>
  </si>
  <si>
    <t>長野県</t>
  </si>
  <si>
    <t>京都府</t>
  </si>
  <si>
    <t>青森県</t>
  </si>
  <si>
    <t>兵庫県</t>
  </si>
  <si>
    <t>岡山県</t>
  </si>
  <si>
    <t>広島県</t>
  </si>
  <si>
    <t>埼玉県</t>
  </si>
  <si>
    <t>新潟県</t>
  </si>
  <si>
    <t>茨城県</t>
  </si>
  <si>
    <t>福島県</t>
  </si>
  <si>
    <t>熊本県</t>
  </si>
  <si>
    <t>奈良県</t>
  </si>
  <si>
    <t>沖縄県</t>
  </si>
  <si>
    <t>千葉県</t>
  </si>
  <si>
    <t>宮城県</t>
  </si>
  <si>
    <t>香川県</t>
  </si>
  <si>
    <t>総出荷数</t>
    <rPh sb="0" eb="1">
      <t>ソウ</t>
    </rPh>
    <rPh sb="1" eb="3">
      <t>シュッカ</t>
    </rPh>
    <rPh sb="3" eb="4">
      <t>スウ</t>
    </rPh>
    <phoneticPr fontId="2"/>
  </si>
  <si>
    <t>生　産　集　計　報　告</t>
    <phoneticPr fontId="2"/>
  </si>
  <si>
    <t>工場ライン</t>
    <rPh sb="0" eb="2">
      <t>コウジョウ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</si>
</sst>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4"/>
      <color theme="0"/>
      <name val="BIZ UDP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sz val="16"/>
      <color theme="9" tint="-0.249977111117893"/>
      <name val="HGP創英角ｺﾞｼｯｸUB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theme="1"/>
      </patternFill>
    </fill>
    <fill>
      <patternFill patternType="solid">
        <fgColor theme="5"/>
        <bgColor theme="5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176" fontId="0" fillId="0" borderId="0" xfId="1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76" fontId="0" fillId="0" borderId="0" xfId="1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20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11" xfId="0" applyBorder="1" applyAlignment="1">
      <alignment vertical="center" wrapText="1"/>
    </xf>
    <xf numFmtId="0" fontId="4" fillId="5" borderId="10" xfId="0" applyFont="1" applyFill="1" applyBorder="1" applyAlignment="1">
      <alignment horizontal="center" vertical="center" wrapText="1"/>
    </xf>
    <xf numFmtId="3" fontId="4" fillId="5" borderId="10" xfId="0" applyNumberFormat="1" applyFont="1" applyFill="1" applyBorder="1" applyAlignment="1">
      <alignment horizontal="center" vertical="center" wrapText="1"/>
    </xf>
    <xf numFmtId="176" fontId="4" fillId="5" borderId="10" xfId="1" applyNumberFormat="1" applyFont="1" applyFill="1" applyBorder="1" applyAlignment="1">
      <alignment horizontal="center" vertical="center" wrapText="1"/>
    </xf>
    <xf numFmtId="0" fontId="0" fillId="5" borderId="13" xfId="0" applyFill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3" fontId="4" fillId="5" borderId="17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パーセント" xfId="1" builtinId="5"/>
    <cellStyle name="標準" xfId="0" builtinId="0"/>
  </cellStyles>
  <dxfs count="17"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游ゴシック"/>
        <family val="3"/>
        <charset val="128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54BA70-18C2-4D71-B073-62E7AEC86234}" name="主要取引一覧" displayName="主要取引一覧" ref="A3:G28" totalsRowShown="0" headerRowDxfId="16" dataDxfId="15">
  <autoFilter ref="A3:G28" xr:uid="{BC54BA70-18C2-4D71-B073-62E7AEC862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68CF4A6-1367-425F-9989-A43BE3D7AF19}" name="連番" dataDxfId="14"/>
    <tableColumn id="2" xr3:uid="{D0A74458-D467-42E4-829B-D3E464D2F0DE}" name="会社名" dataDxfId="13"/>
    <tableColumn id="3" xr3:uid="{D7AB2426-AAA0-4415-A4B8-2F7723F09816}" name="担当者" dataDxfId="12"/>
    <tableColumn id="4" xr3:uid="{4169DEA5-53CF-4B1D-9175-F74F3DC500AD}" name="業種" dataDxfId="11"/>
    <tableColumn id="5" xr3:uid="{F51F407A-3497-42F5-98E3-B1ABC56050E5}" name="都道府県" dataDxfId="10"/>
    <tableColumn id="6" xr3:uid="{C062C2A0-86E3-40B9-BB25-9DE6707DAD2B}" name="電話番号" dataDxfId="9"/>
    <tableColumn id="7" xr3:uid="{35A1A8C6-A0AA-4BF6-91F4-02FCC38698CC}" name="表示番号" dataDxfId="0">
      <calculatedColumnFormula>_xlfn.CONCAT("MK-",主要取引一覧[[#This Row],[業種]])</calculatedColumnFormula>
    </tableColumn>
  </tableColumns>
  <tableStyleInfo name="TableStyleMedium2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B445A7-DCBB-4786-9F15-7788CD306A9B}" name="見学申込" displayName="見学申込" ref="A4:F19" totalsRowShown="0" headerRowDxfId="8" dataDxfId="7">
  <autoFilter ref="A4:F19" xr:uid="{4AB445A7-DCBB-4786-9F15-7788CD306A9B}"/>
  <tableColumns count="6">
    <tableColumn id="1" xr3:uid="{E94A7AC7-0F53-4F96-B1B2-0F9AF2533AC1}" name="申込ID" dataDxfId="6"/>
    <tableColumn id="2" xr3:uid="{6BFD658D-50C2-4CB1-B9DF-686A31C058C8}" name="工場" dataDxfId="5"/>
    <tableColumn id="3" xr3:uid="{663087DA-A3B0-4F65-8767-C903F8569204}" name="ライン" dataDxfId="4"/>
    <tableColumn id="4" xr3:uid="{97021F44-A60B-4DCA-86B1-D72E0F802D88}" name="氏名" dataDxfId="3"/>
    <tableColumn id="5" xr3:uid="{C22CED32-5759-4180-BDBC-C9C0C9427BA8}" name="人数" dataDxfId="2"/>
    <tableColumn id="6" xr3:uid="{A3420E95-9DC1-4F04-BB27-0660E5E7F023}" name="備考" dataDxfId="1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レトロスペク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レトロスペクト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workbookViewId="0">
      <selection sqref="A1:H1"/>
    </sheetView>
  </sheetViews>
  <sheetFormatPr defaultRowHeight="16.5" customHeight="1" x14ac:dyDescent="0.4"/>
  <cols>
    <col min="1" max="1" width="8.5" style="3" bestFit="1" customWidth="1"/>
    <col min="2" max="3" width="13" style="8" customWidth="1"/>
    <col min="4" max="5" width="13" style="3" customWidth="1"/>
    <col min="6" max="7" width="13" style="8" customWidth="1"/>
    <col min="8" max="8" width="13" style="3" customWidth="1"/>
    <col min="9" max="10" width="12" style="3" customWidth="1"/>
    <col min="11" max="16384" width="9" style="3"/>
  </cols>
  <sheetData>
    <row r="1" spans="1:8" ht="24" customHeight="1" x14ac:dyDescent="0.4">
      <c r="A1" s="37" t="s">
        <v>63</v>
      </c>
      <c r="B1" s="37"/>
      <c r="C1" s="37"/>
      <c r="D1" s="37"/>
      <c r="E1" s="37"/>
      <c r="F1" s="37"/>
      <c r="G1" s="37"/>
      <c r="H1" s="37"/>
    </row>
    <row r="2" spans="1:8" ht="18" customHeight="1" x14ac:dyDescent="0.4"/>
    <row r="3" spans="1:8" s="6" customFormat="1" ht="22.5" customHeight="1" x14ac:dyDescent="0.4">
      <c r="A3" s="32" t="s">
        <v>0</v>
      </c>
      <c r="B3" s="33" t="s">
        <v>1</v>
      </c>
      <c r="C3" s="33" t="s">
        <v>2</v>
      </c>
      <c r="D3" s="33" t="s">
        <v>3</v>
      </c>
      <c r="E3" s="33" t="s">
        <v>267</v>
      </c>
      <c r="F3" s="33" t="s">
        <v>4</v>
      </c>
      <c r="G3" s="33" t="s">
        <v>5</v>
      </c>
      <c r="H3" s="34" t="s">
        <v>6</v>
      </c>
    </row>
    <row r="4" spans="1:8" ht="22.5" customHeight="1" x14ac:dyDescent="0.4">
      <c r="A4" s="17">
        <v>1</v>
      </c>
      <c r="B4" s="8" t="s">
        <v>7</v>
      </c>
      <c r="C4" s="8" t="s">
        <v>8</v>
      </c>
      <c r="D4" s="3" t="s">
        <v>9</v>
      </c>
      <c r="F4" s="8" t="s">
        <v>10</v>
      </c>
      <c r="G4" s="8" t="s">
        <v>11</v>
      </c>
      <c r="H4" s="18"/>
    </row>
    <row r="5" spans="1:8" ht="22.5" customHeight="1" x14ac:dyDescent="0.4">
      <c r="A5" s="9">
        <v>2</v>
      </c>
      <c r="B5" s="11" t="s">
        <v>12</v>
      </c>
      <c r="C5" s="11" t="s">
        <v>8</v>
      </c>
      <c r="D5" s="10" t="s">
        <v>13</v>
      </c>
      <c r="E5" s="10"/>
      <c r="F5" s="11" t="s">
        <v>14</v>
      </c>
      <c r="G5" s="11" t="s">
        <v>15</v>
      </c>
      <c r="H5" s="12"/>
    </row>
    <row r="6" spans="1:8" ht="22.5" customHeight="1" x14ac:dyDescent="0.4">
      <c r="A6" s="9">
        <v>3</v>
      </c>
      <c r="B6" s="11" t="s">
        <v>16</v>
      </c>
      <c r="C6" s="11" t="s">
        <v>17</v>
      </c>
      <c r="D6" s="10" t="s">
        <v>18</v>
      </c>
      <c r="E6" s="10"/>
      <c r="F6" s="11" t="s">
        <v>10</v>
      </c>
      <c r="G6" s="11" t="s">
        <v>19</v>
      </c>
      <c r="H6" s="12"/>
    </row>
    <row r="7" spans="1:8" ht="22.5" customHeight="1" x14ac:dyDescent="0.4">
      <c r="A7" s="9">
        <v>4</v>
      </c>
      <c r="B7" s="11" t="s">
        <v>7</v>
      </c>
      <c r="C7" s="11" t="s">
        <v>17</v>
      </c>
      <c r="D7" s="10" t="s">
        <v>20</v>
      </c>
      <c r="E7" s="10"/>
      <c r="F7" s="11" t="s">
        <v>10</v>
      </c>
      <c r="G7" s="11" t="s">
        <v>19</v>
      </c>
      <c r="H7" s="12"/>
    </row>
    <row r="8" spans="1:8" ht="22.5" customHeight="1" x14ac:dyDescent="0.4">
      <c r="A8" s="9">
        <v>5</v>
      </c>
      <c r="B8" s="11" t="s">
        <v>21</v>
      </c>
      <c r="C8" s="11" t="s">
        <v>8</v>
      </c>
      <c r="D8" s="10" t="s">
        <v>22</v>
      </c>
      <c r="E8" s="10"/>
      <c r="F8" s="11" t="s">
        <v>17</v>
      </c>
      <c r="G8" s="11" t="s">
        <v>11</v>
      </c>
      <c r="H8" s="12"/>
    </row>
    <row r="9" spans="1:8" ht="22.5" customHeight="1" x14ac:dyDescent="0.4">
      <c r="A9" s="9">
        <v>6</v>
      </c>
      <c r="B9" s="11" t="s">
        <v>23</v>
      </c>
      <c r="C9" s="11" t="s">
        <v>24</v>
      </c>
      <c r="D9" s="10" t="s">
        <v>25</v>
      </c>
      <c r="E9" s="10"/>
      <c r="F9" s="11" t="s">
        <v>14</v>
      </c>
      <c r="G9" s="11" t="s">
        <v>19</v>
      </c>
      <c r="H9" s="12"/>
    </row>
    <row r="10" spans="1:8" ht="22.5" customHeight="1" x14ac:dyDescent="0.4">
      <c r="A10" s="9">
        <v>7</v>
      </c>
      <c r="B10" s="11" t="s">
        <v>7</v>
      </c>
      <c r="C10" s="11" t="s">
        <v>10</v>
      </c>
      <c r="D10" s="10" t="s">
        <v>26</v>
      </c>
      <c r="E10" s="10"/>
      <c r="F10" s="11" t="s">
        <v>10</v>
      </c>
      <c r="G10" s="11" t="s">
        <v>11</v>
      </c>
      <c r="H10" s="12"/>
    </row>
    <row r="11" spans="1:8" ht="22.5" customHeight="1" x14ac:dyDescent="0.4">
      <c r="A11" s="9">
        <v>8</v>
      </c>
      <c r="B11" s="11" t="s">
        <v>21</v>
      </c>
      <c r="C11" s="11" t="s">
        <v>24</v>
      </c>
      <c r="D11" s="10" t="s">
        <v>27</v>
      </c>
      <c r="E11" s="10"/>
      <c r="F11" s="11" t="s">
        <v>14</v>
      </c>
      <c r="G11" s="11" t="s">
        <v>11</v>
      </c>
      <c r="H11" s="12"/>
    </row>
    <row r="12" spans="1:8" ht="22.5" customHeight="1" x14ac:dyDescent="0.4">
      <c r="A12" s="9">
        <v>9</v>
      </c>
      <c r="B12" s="11" t="s">
        <v>21</v>
      </c>
      <c r="C12" s="11" t="s">
        <v>8</v>
      </c>
      <c r="D12" s="10" t="s">
        <v>28</v>
      </c>
      <c r="E12" s="10"/>
      <c r="F12" s="11" t="s">
        <v>14</v>
      </c>
      <c r="G12" s="11" t="s">
        <v>11</v>
      </c>
      <c r="H12" s="12"/>
    </row>
    <row r="13" spans="1:8" ht="22.5" customHeight="1" x14ac:dyDescent="0.4">
      <c r="A13" s="9">
        <v>10</v>
      </c>
      <c r="B13" s="11" t="s">
        <v>23</v>
      </c>
      <c r="C13" s="11" t="s">
        <v>8</v>
      </c>
      <c r="D13" s="10" t="s">
        <v>29</v>
      </c>
      <c r="E13" s="10"/>
      <c r="F13" s="11" t="s">
        <v>17</v>
      </c>
      <c r="G13" s="11" t="s">
        <v>15</v>
      </c>
      <c r="H13" s="12"/>
    </row>
    <row r="14" spans="1:8" ht="22.5" customHeight="1" x14ac:dyDescent="0.4">
      <c r="A14" s="9">
        <v>11</v>
      </c>
      <c r="B14" s="11" t="s">
        <v>16</v>
      </c>
      <c r="C14" s="11" t="s">
        <v>10</v>
      </c>
      <c r="D14" s="10" t="s">
        <v>30</v>
      </c>
      <c r="E14" s="10"/>
      <c r="F14" s="11" t="s">
        <v>31</v>
      </c>
      <c r="G14" s="11" t="s">
        <v>11</v>
      </c>
      <c r="H14" s="12"/>
    </row>
    <row r="15" spans="1:8" ht="22.5" customHeight="1" x14ac:dyDescent="0.4">
      <c r="A15" s="9">
        <v>12</v>
      </c>
      <c r="B15" s="11" t="s">
        <v>12</v>
      </c>
      <c r="C15" s="11" t="s">
        <v>24</v>
      </c>
      <c r="D15" s="10" t="s">
        <v>32</v>
      </c>
      <c r="E15" s="10"/>
      <c r="F15" s="11" t="s">
        <v>17</v>
      </c>
      <c r="G15" s="11" t="s">
        <v>11</v>
      </c>
      <c r="H15" s="12"/>
    </row>
    <row r="16" spans="1:8" ht="22.5" customHeight="1" x14ac:dyDescent="0.4">
      <c r="A16" s="9">
        <v>13</v>
      </c>
      <c r="B16" s="11" t="s">
        <v>23</v>
      </c>
      <c r="C16" s="11" t="s">
        <v>24</v>
      </c>
      <c r="D16" s="10" t="s">
        <v>33</v>
      </c>
      <c r="E16" s="10"/>
      <c r="F16" s="11" t="s">
        <v>17</v>
      </c>
      <c r="G16" s="11" t="s">
        <v>11</v>
      </c>
      <c r="H16" s="12"/>
    </row>
    <row r="17" spans="1:8" ht="22.5" customHeight="1" x14ac:dyDescent="0.4">
      <c r="A17" s="9">
        <v>14</v>
      </c>
      <c r="B17" s="11" t="s">
        <v>16</v>
      </c>
      <c r="C17" s="11" t="s">
        <v>8</v>
      </c>
      <c r="D17" s="10" t="s">
        <v>34</v>
      </c>
      <c r="E17" s="10"/>
      <c r="F17" s="11" t="s">
        <v>14</v>
      </c>
      <c r="G17" s="11" t="s">
        <v>11</v>
      </c>
      <c r="H17" s="12"/>
    </row>
    <row r="18" spans="1:8" ht="22.5" customHeight="1" x14ac:dyDescent="0.4">
      <c r="A18" s="9">
        <v>15</v>
      </c>
      <c r="B18" s="11" t="s">
        <v>23</v>
      </c>
      <c r="C18" s="11" t="s">
        <v>8</v>
      </c>
      <c r="D18" s="10" t="s">
        <v>35</v>
      </c>
      <c r="E18" s="10"/>
      <c r="F18" s="11" t="s">
        <v>14</v>
      </c>
      <c r="G18" s="11" t="s">
        <v>19</v>
      </c>
      <c r="H18" s="12"/>
    </row>
    <row r="19" spans="1:8" ht="22.5" customHeight="1" x14ac:dyDescent="0.4">
      <c r="A19" s="9">
        <v>16</v>
      </c>
      <c r="B19" s="11" t="s">
        <v>21</v>
      </c>
      <c r="C19" s="11" t="s">
        <v>17</v>
      </c>
      <c r="D19" s="10" t="s">
        <v>36</v>
      </c>
      <c r="E19" s="10"/>
      <c r="F19" s="11" t="s">
        <v>10</v>
      </c>
      <c r="G19" s="11" t="s">
        <v>19</v>
      </c>
      <c r="H19" s="12"/>
    </row>
    <row r="20" spans="1:8" ht="22.5" customHeight="1" x14ac:dyDescent="0.4">
      <c r="A20" s="9">
        <v>17</v>
      </c>
      <c r="B20" s="11" t="s">
        <v>21</v>
      </c>
      <c r="C20" s="11" t="s">
        <v>17</v>
      </c>
      <c r="D20" s="10" t="s">
        <v>37</v>
      </c>
      <c r="E20" s="10"/>
      <c r="F20" s="11" t="s">
        <v>10</v>
      </c>
      <c r="G20" s="11" t="s">
        <v>19</v>
      </c>
      <c r="H20" s="12"/>
    </row>
    <row r="21" spans="1:8" ht="22.5" customHeight="1" x14ac:dyDescent="0.4">
      <c r="A21" s="9">
        <v>18</v>
      </c>
      <c r="B21" s="11" t="s">
        <v>7</v>
      </c>
      <c r="C21" s="11" t="s">
        <v>24</v>
      </c>
      <c r="D21" s="10" t="s">
        <v>38</v>
      </c>
      <c r="E21" s="10"/>
      <c r="F21" s="11" t="s">
        <v>31</v>
      </c>
      <c r="G21" s="11" t="s">
        <v>15</v>
      </c>
      <c r="H21" s="12"/>
    </row>
    <row r="22" spans="1:8" ht="22.5" customHeight="1" x14ac:dyDescent="0.4">
      <c r="A22" s="9">
        <v>19</v>
      </c>
      <c r="B22" s="11" t="s">
        <v>16</v>
      </c>
      <c r="C22" s="11" t="s">
        <v>10</v>
      </c>
      <c r="D22" s="10" t="s">
        <v>39</v>
      </c>
      <c r="E22" s="10"/>
      <c r="F22" s="11" t="s">
        <v>14</v>
      </c>
      <c r="G22" s="11" t="s">
        <v>15</v>
      </c>
      <c r="H22" s="12"/>
    </row>
    <row r="23" spans="1:8" ht="22.5" customHeight="1" x14ac:dyDescent="0.4">
      <c r="A23" s="13">
        <v>20</v>
      </c>
      <c r="B23" s="15" t="s">
        <v>21</v>
      </c>
      <c r="C23" s="15" t="s">
        <v>10</v>
      </c>
      <c r="D23" s="14" t="s">
        <v>40</v>
      </c>
      <c r="E23" s="14"/>
      <c r="F23" s="15" t="s">
        <v>17</v>
      </c>
      <c r="G23" s="15" t="s">
        <v>15</v>
      </c>
      <c r="H23" s="16"/>
    </row>
  </sheetData>
  <mergeCells count="1">
    <mergeCell ref="A1:H1"/>
  </mergeCells>
  <phoneticPr fontId="2"/>
  <pageMargins left="0.25" right="0.25" top="0.5" bottom="0.5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6.5" customHeight="1" x14ac:dyDescent="0.4"/>
  <cols>
    <col min="1" max="1" width="12.25" style="3" customWidth="1"/>
    <col min="2" max="7" width="14" style="3" customWidth="1"/>
    <col min="8" max="9" width="9" style="3"/>
    <col min="10" max="10" width="19" style="3" customWidth="1"/>
    <col min="11" max="16384" width="9" style="3"/>
  </cols>
  <sheetData>
    <row r="1" spans="1:10" ht="7.5" customHeight="1" x14ac:dyDescent="0.4"/>
    <row r="2" spans="1:10" ht="24" customHeight="1" thickBot="1" x14ac:dyDescent="0.45">
      <c r="A2" s="31"/>
      <c r="B2" s="31"/>
      <c r="C2" s="31"/>
      <c r="D2" s="31"/>
      <c r="E2" s="31"/>
      <c r="F2" s="31"/>
      <c r="G2" s="31"/>
      <c r="J2" s="36" t="s">
        <v>265</v>
      </c>
    </row>
    <row r="3" spans="1:10" ht="26.25" customHeight="1" thickBot="1" x14ac:dyDescent="0.45">
      <c r="A3" s="38" t="s">
        <v>266</v>
      </c>
      <c r="B3" s="38"/>
      <c r="C3" s="38"/>
      <c r="D3" s="38"/>
      <c r="E3" s="38"/>
      <c r="F3" s="38"/>
      <c r="G3" s="38"/>
      <c r="J3" s="35"/>
    </row>
    <row r="4" spans="1:10" ht="21.75" customHeight="1" thickBot="1" x14ac:dyDescent="0.45">
      <c r="A4" s="28" t="s">
        <v>64</v>
      </c>
      <c r="B4" s="29" t="s">
        <v>65</v>
      </c>
      <c r="C4" s="29" t="s">
        <v>66</v>
      </c>
      <c r="D4" s="28" t="s">
        <v>67</v>
      </c>
      <c r="E4" s="30" t="s">
        <v>68</v>
      </c>
      <c r="F4" s="30" t="s">
        <v>69</v>
      </c>
      <c r="G4" s="30" t="s">
        <v>70</v>
      </c>
    </row>
    <row r="5" spans="1:10" ht="21.75" customHeight="1" x14ac:dyDescent="0.4">
      <c r="A5" s="1" t="s">
        <v>71</v>
      </c>
      <c r="B5" s="2">
        <v>2450</v>
      </c>
      <c r="C5" s="2">
        <v>2380</v>
      </c>
      <c r="D5" s="1">
        <v>35</v>
      </c>
      <c r="E5" s="5">
        <f t="shared" ref="E5:E24" si="0">C5/B5</f>
        <v>0.97142857142857142</v>
      </c>
      <c r="F5" s="5">
        <f t="shared" ref="F5:F24" si="1">D5/B5</f>
        <v>1.4285714285714285E-2</v>
      </c>
      <c r="G5" s="5">
        <f t="shared" ref="G5:G24" si="2">E5/B5</f>
        <v>3.9650145772594754E-4</v>
      </c>
    </row>
    <row r="6" spans="1:10" ht="21.75" customHeight="1" x14ac:dyDescent="0.4">
      <c r="A6" s="1" t="s">
        <v>72</v>
      </c>
      <c r="B6" s="2">
        <v>3800</v>
      </c>
      <c r="C6" s="2">
        <v>3720</v>
      </c>
      <c r="D6" s="1">
        <v>42</v>
      </c>
      <c r="E6" s="5">
        <f t="shared" si="0"/>
        <v>0.97894736842105268</v>
      </c>
      <c r="F6" s="5">
        <f t="shared" si="1"/>
        <v>1.1052631578947368E-2</v>
      </c>
      <c r="G6" s="5">
        <f t="shared" si="2"/>
        <v>2.5761772853185596E-4</v>
      </c>
    </row>
    <row r="7" spans="1:10" ht="21.75" customHeight="1" x14ac:dyDescent="0.4">
      <c r="A7" s="1" t="s">
        <v>73</v>
      </c>
      <c r="B7" s="2">
        <v>4200</v>
      </c>
      <c r="C7" s="2">
        <v>4110</v>
      </c>
      <c r="D7" s="1">
        <v>56</v>
      </c>
      <c r="E7" s="5">
        <f t="shared" si="0"/>
        <v>0.97857142857142854</v>
      </c>
      <c r="F7" s="5">
        <f t="shared" si="1"/>
        <v>1.3333333333333334E-2</v>
      </c>
      <c r="G7" s="5">
        <f t="shared" si="2"/>
        <v>2.3299319727891155E-4</v>
      </c>
    </row>
    <row r="8" spans="1:10" ht="21.75" customHeight="1" x14ac:dyDescent="0.4">
      <c r="A8" s="1" t="s">
        <v>74</v>
      </c>
      <c r="B8" s="2">
        <v>980</v>
      </c>
      <c r="C8" s="2">
        <v>952</v>
      </c>
      <c r="D8" s="1">
        <v>18</v>
      </c>
      <c r="E8" s="5">
        <f t="shared" si="0"/>
        <v>0.97142857142857142</v>
      </c>
      <c r="F8" s="5">
        <f t="shared" si="1"/>
        <v>1.8367346938775512E-2</v>
      </c>
      <c r="G8" s="5">
        <f t="shared" si="2"/>
        <v>9.912536443148687E-4</v>
      </c>
    </row>
    <row r="9" spans="1:10" ht="21.75" customHeight="1" x14ac:dyDescent="0.4">
      <c r="A9" s="1" t="s">
        <v>75</v>
      </c>
      <c r="B9" s="2">
        <v>1250</v>
      </c>
      <c r="C9" s="2">
        <v>1210</v>
      </c>
      <c r="D9" s="1">
        <v>22</v>
      </c>
      <c r="E9" s="5">
        <f t="shared" si="0"/>
        <v>0.96799999999999997</v>
      </c>
      <c r="F9" s="5">
        <f t="shared" si="1"/>
        <v>1.7600000000000001E-2</v>
      </c>
      <c r="G9" s="5">
        <f t="shared" si="2"/>
        <v>7.7439999999999996E-4</v>
      </c>
    </row>
    <row r="10" spans="1:10" ht="21.75" customHeight="1" x14ac:dyDescent="0.4">
      <c r="A10" s="1" t="s">
        <v>76</v>
      </c>
      <c r="B10" s="2">
        <v>1480</v>
      </c>
      <c r="C10" s="2">
        <v>1445</v>
      </c>
      <c r="D10" s="1">
        <v>27</v>
      </c>
      <c r="E10" s="5">
        <f t="shared" si="0"/>
        <v>0.97635135135135132</v>
      </c>
      <c r="F10" s="5">
        <f t="shared" si="1"/>
        <v>1.8243243243243244E-2</v>
      </c>
      <c r="G10" s="5">
        <f t="shared" si="2"/>
        <v>6.5969685902118327E-4</v>
      </c>
    </row>
    <row r="11" spans="1:10" ht="21.75" customHeight="1" x14ac:dyDescent="0.4">
      <c r="A11" s="1" t="s">
        <v>77</v>
      </c>
      <c r="B11" s="2">
        <v>860</v>
      </c>
      <c r="C11" s="2">
        <v>835</v>
      </c>
      <c r="D11" s="1">
        <v>16</v>
      </c>
      <c r="E11" s="5">
        <f t="shared" si="0"/>
        <v>0.97093023255813948</v>
      </c>
      <c r="F11" s="5">
        <f t="shared" si="1"/>
        <v>1.8604651162790697E-2</v>
      </c>
      <c r="G11" s="5">
        <f t="shared" si="2"/>
        <v>1.1289886425094645E-3</v>
      </c>
    </row>
    <row r="12" spans="1:10" ht="21.75" customHeight="1" x14ac:dyDescent="0.4">
      <c r="A12" s="1" t="s">
        <v>78</v>
      </c>
      <c r="B12" s="2">
        <v>1120</v>
      </c>
      <c r="C12" s="2">
        <v>1095</v>
      </c>
      <c r="D12" s="1">
        <v>14</v>
      </c>
      <c r="E12" s="5">
        <f t="shared" si="0"/>
        <v>0.9776785714285714</v>
      </c>
      <c r="F12" s="5">
        <f t="shared" si="1"/>
        <v>1.2500000000000001E-2</v>
      </c>
      <c r="G12" s="5">
        <f t="shared" si="2"/>
        <v>8.729272959183673E-4</v>
      </c>
    </row>
    <row r="13" spans="1:10" ht="21.75" customHeight="1" x14ac:dyDescent="0.4">
      <c r="A13" s="1" t="s">
        <v>79</v>
      </c>
      <c r="B13" s="2">
        <v>780</v>
      </c>
      <c r="C13" s="2">
        <v>765</v>
      </c>
      <c r="D13" s="1">
        <v>9</v>
      </c>
      <c r="E13" s="5">
        <f t="shared" si="0"/>
        <v>0.98076923076923073</v>
      </c>
      <c r="F13" s="5">
        <f t="shared" si="1"/>
        <v>1.1538461538461539E-2</v>
      </c>
      <c r="G13" s="5">
        <f t="shared" si="2"/>
        <v>1.257396449704142E-3</v>
      </c>
    </row>
    <row r="14" spans="1:10" ht="21.75" customHeight="1" x14ac:dyDescent="0.4">
      <c r="A14" s="1" t="s">
        <v>80</v>
      </c>
      <c r="B14" s="2">
        <v>1050</v>
      </c>
      <c r="C14" s="2">
        <v>1018</v>
      </c>
      <c r="D14" s="1">
        <v>15</v>
      </c>
      <c r="E14" s="5">
        <f t="shared" si="0"/>
        <v>0.96952380952380957</v>
      </c>
      <c r="F14" s="5">
        <f t="shared" si="1"/>
        <v>1.4285714285714285E-2</v>
      </c>
      <c r="G14" s="5">
        <f t="shared" si="2"/>
        <v>9.2335600907029482E-4</v>
      </c>
    </row>
    <row r="15" spans="1:10" ht="21.75" customHeight="1" x14ac:dyDescent="0.4">
      <c r="A15" s="1" t="s">
        <v>81</v>
      </c>
      <c r="B15" s="1">
        <v>690</v>
      </c>
      <c r="C15" s="1">
        <v>674</v>
      </c>
      <c r="D15" s="1">
        <v>8</v>
      </c>
      <c r="E15" s="5">
        <f t="shared" si="0"/>
        <v>0.97681159420289854</v>
      </c>
      <c r="F15" s="5">
        <f t="shared" si="1"/>
        <v>1.1594202898550725E-2</v>
      </c>
      <c r="G15" s="5">
        <f t="shared" si="2"/>
        <v>1.41566897710565E-3</v>
      </c>
    </row>
    <row r="16" spans="1:10" ht="21.75" customHeight="1" x14ac:dyDescent="0.4">
      <c r="A16" s="1" t="s">
        <v>82</v>
      </c>
      <c r="B16" s="2">
        <v>940</v>
      </c>
      <c r="C16" s="2">
        <v>915</v>
      </c>
      <c r="D16" s="1">
        <v>12</v>
      </c>
      <c r="E16" s="5">
        <f t="shared" si="0"/>
        <v>0.97340425531914898</v>
      </c>
      <c r="F16" s="5">
        <f t="shared" si="1"/>
        <v>1.276595744680851E-2</v>
      </c>
      <c r="G16" s="5">
        <f t="shared" si="2"/>
        <v>1.035536441828882E-3</v>
      </c>
    </row>
    <row r="17" spans="1:7" ht="21.75" customHeight="1" x14ac:dyDescent="0.4">
      <c r="A17" s="1" t="s">
        <v>83</v>
      </c>
      <c r="B17" s="2">
        <v>2800</v>
      </c>
      <c r="C17" s="2">
        <v>2748</v>
      </c>
      <c r="D17" s="1">
        <v>24</v>
      </c>
      <c r="E17" s="5">
        <f t="shared" si="0"/>
        <v>0.98142857142857143</v>
      </c>
      <c r="F17" s="5">
        <f t="shared" si="1"/>
        <v>8.5714285714285719E-3</v>
      </c>
      <c r="G17" s="5">
        <f t="shared" si="2"/>
        <v>3.5051020408163267E-4</v>
      </c>
    </row>
    <row r="18" spans="1:7" ht="21.75" customHeight="1" x14ac:dyDescent="0.4">
      <c r="A18" s="1" t="s">
        <v>84</v>
      </c>
      <c r="B18" s="1">
        <v>620</v>
      </c>
      <c r="C18" s="1">
        <v>604</v>
      </c>
      <c r="D18" s="1">
        <v>10</v>
      </c>
      <c r="E18" s="5">
        <f t="shared" si="0"/>
        <v>0.97419354838709682</v>
      </c>
      <c r="F18" s="5">
        <f t="shared" si="1"/>
        <v>1.6129032258064516E-2</v>
      </c>
      <c r="G18" s="5">
        <f t="shared" si="2"/>
        <v>1.5712799167533821E-3</v>
      </c>
    </row>
    <row r="19" spans="1:7" ht="21.75" customHeight="1" x14ac:dyDescent="0.4">
      <c r="A19" s="1" t="s">
        <v>85</v>
      </c>
      <c r="B19" s="2">
        <v>710</v>
      </c>
      <c r="C19" s="2">
        <v>692</v>
      </c>
      <c r="D19" s="1">
        <v>11</v>
      </c>
      <c r="E19" s="5">
        <f t="shared" si="0"/>
        <v>0.9746478873239437</v>
      </c>
      <c r="F19" s="5">
        <f t="shared" si="1"/>
        <v>1.5492957746478873E-2</v>
      </c>
      <c r="G19" s="5">
        <f t="shared" si="2"/>
        <v>1.3727435032731602E-3</v>
      </c>
    </row>
    <row r="20" spans="1:7" ht="21.75" customHeight="1" x14ac:dyDescent="0.4">
      <c r="A20" s="1" t="s">
        <v>86</v>
      </c>
      <c r="B20" s="2">
        <v>1340</v>
      </c>
      <c r="C20" s="2">
        <v>1308</v>
      </c>
      <c r="D20" s="1">
        <v>19</v>
      </c>
      <c r="E20" s="5">
        <f t="shared" si="0"/>
        <v>0.9761194029850746</v>
      </c>
      <c r="F20" s="5">
        <f t="shared" si="1"/>
        <v>1.4179104477611941E-2</v>
      </c>
      <c r="G20" s="5">
        <f t="shared" si="2"/>
        <v>7.2844731566050339E-4</v>
      </c>
    </row>
    <row r="21" spans="1:7" ht="21.75" customHeight="1" x14ac:dyDescent="0.4">
      <c r="A21" s="1" t="s">
        <v>87</v>
      </c>
      <c r="B21" s="2">
        <v>2250</v>
      </c>
      <c r="C21" s="2">
        <v>2205</v>
      </c>
      <c r="D21" s="1">
        <v>31</v>
      </c>
      <c r="E21" s="5">
        <f t="shared" si="0"/>
        <v>0.98</v>
      </c>
      <c r="F21" s="5">
        <f t="shared" si="1"/>
        <v>1.3777777777777778E-2</v>
      </c>
      <c r="G21" s="5">
        <f t="shared" si="2"/>
        <v>4.3555555555555557E-4</v>
      </c>
    </row>
    <row r="22" spans="1:7" ht="21.75" customHeight="1" x14ac:dyDescent="0.4">
      <c r="A22" s="1" t="s">
        <v>88</v>
      </c>
      <c r="B22" s="2">
        <v>1980</v>
      </c>
      <c r="C22" s="2">
        <v>1935</v>
      </c>
      <c r="D22" s="1">
        <v>26</v>
      </c>
      <c r="E22" s="5">
        <f t="shared" si="0"/>
        <v>0.97727272727272729</v>
      </c>
      <c r="F22" s="5">
        <f t="shared" si="1"/>
        <v>1.3131313131313131E-2</v>
      </c>
      <c r="G22" s="5">
        <f t="shared" si="2"/>
        <v>4.9357208448117538E-4</v>
      </c>
    </row>
    <row r="23" spans="1:7" ht="21.75" customHeight="1" x14ac:dyDescent="0.4">
      <c r="A23" s="1" t="s">
        <v>89</v>
      </c>
      <c r="B23" s="1">
        <v>870</v>
      </c>
      <c r="C23" s="1">
        <v>846</v>
      </c>
      <c r="D23" s="1">
        <v>13</v>
      </c>
      <c r="E23" s="5">
        <f t="shared" si="0"/>
        <v>0.97241379310344822</v>
      </c>
      <c r="F23" s="5">
        <f t="shared" si="1"/>
        <v>1.4942528735632184E-2</v>
      </c>
      <c r="G23" s="5">
        <f t="shared" si="2"/>
        <v>1.1177170035671818E-3</v>
      </c>
    </row>
    <row r="24" spans="1:7" ht="21.75" customHeight="1" x14ac:dyDescent="0.4">
      <c r="A24" s="3" t="s">
        <v>90</v>
      </c>
      <c r="B24" s="3">
        <v>560</v>
      </c>
      <c r="C24" s="3">
        <v>548</v>
      </c>
      <c r="D24" s="3">
        <v>6</v>
      </c>
      <c r="E24" s="19">
        <f t="shared" si="0"/>
        <v>0.97857142857142854</v>
      </c>
      <c r="F24" s="19">
        <f t="shared" si="1"/>
        <v>1.0714285714285714E-2</v>
      </c>
      <c r="G24" s="19">
        <f t="shared" si="2"/>
        <v>1.7474489795918367E-3</v>
      </c>
    </row>
    <row r="26" spans="1:7" ht="16.5" customHeight="1" x14ac:dyDescent="0.4">
      <c r="B26" s="4"/>
      <c r="C26" s="4"/>
    </row>
    <row r="29" spans="1:7" ht="16.5" customHeight="1" x14ac:dyDescent="0.4">
      <c r="B29" s="4"/>
      <c r="C29" s="4"/>
    </row>
    <row r="30" spans="1:7" ht="16.5" customHeight="1" x14ac:dyDescent="0.4">
      <c r="B30" s="4"/>
      <c r="C30" s="4"/>
    </row>
    <row r="31" spans="1:7" ht="16.5" customHeight="1" x14ac:dyDescent="0.4">
      <c r="B31" s="4"/>
      <c r="C31" s="4"/>
    </row>
  </sheetData>
  <mergeCells count="1">
    <mergeCell ref="A3:G3"/>
  </mergeCells>
  <phoneticPr fontId="2"/>
  <pageMargins left="0.25" right="0.25" top="0.5" bottom="0.5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sqref="A1:G1"/>
    </sheetView>
  </sheetViews>
  <sheetFormatPr defaultRowHeight="16.5" customHeight="1" x14ac:dyDescent="0.4"/>
  <cols>
    <col min="1" max="1" width="11.375" style="3" customWidth="1"/>
    <col min="2" max="2" width="29.625" style="3" bestFit="1" customWidth="1"/>
    <col min="3" max="6" width="16" style="3" customWidth="1"/>
    <col min="7" max="7" width="16.5" style="3" customWidth="1"/>
    <col min="8" max="16384" width="9" style="3"/>
  </cols>
  <sheetData>
    <row r="1" spans="1:7" ht="24" customHeight="1" x14ac:dyDescent="0.4">
      <c r="A1" s="39" t="s">
        <v>195</v>
      </c>
      <c r="B1" s="39"/>
      <c r="C1" s="39"/>
      <c r="D1" s="39"/>
      <c r="E1" s="39"/>
      <c r="F1" s="39"/>
      <c r="G1" s="39"/>
    </row>
    <row r="2" spans="1:7" ht="18" customHeight="1" x14ac:dyDescent="0.4"/>
    <row r="3" spans="1:7" ht="23.25" customHeight="1" x14ac:dyDescent="0.4">
      <c r="A3" s="20" t="s">
        <v>91</v>
      </c>
      <c r="B3" s="20" t="s">
        <v>92</v>
      </c>
      <c r="C3" s="20" t="s">
        <v>93</v>
      </c>
      <c r="D3" s="20" t="s">
        <v>94</v>
      </c>
      <c r="E3" s="20" t="s">
        <v>95</v>
      </c>
      <c r="F3" s="20" t="s">
        <v>96</v>
      </c>
      <c r="G3" s="20" t="s">
        <v>97</v>
      </c>
    </row>
    <row r="4" spans="1:7" ht="21.75" customHeight="1" x14ac:dyDescent="0.4">
      <c r="A4" s="1">
        <v>1</v>
      </c>
      <c r="B4" s="3" t="s">
        <v>241</v>
      </c>
      <c r="C4" s="1" t="s">
        <v>98</v>
      </c>
      <c r="D4" s="1" t="s">
        <v>99</v>
      </c>
      <c r="E4" s="3" t="s">
        <v>244</v>
      </c>
      <c r="F4" s="1" t="s">
        <v>101</v>
      </c>
      <c r="G4" s="1"/>
    </row>
    <row r="5" spans="1:7" ht="21.75" customHeight="1" x14ac:dyDescent="0.4">
      <c r="A5" s="1">
        <v>2</v>
      </c>
      <c r="B5" s="3" t="s">
        <v>240</v>
      </c>
      <c r="C5" s="1" t="s">
        <v>102</v>
      </c>
      <c r="D5" s="1" t="s">
        <v>103</v>
      </c>
      <c r="E5" s="3" t="s">
        <v>246</v>
      </c>
      <c r="F5" s="1" t="s">
        <v>104</v>
      </c>
      <c r="G5" s="1"/>
    </row>
    <row r="6" spans="1:7" ht="21.75" customHeight="1" x14ac:dyDescent="0.4">
      <c r="A6" s="1">
        <v>3</v>
      </c>
      <c r="B6" s="3" t="s">
        <v>238</v>
      </c>
      <c r="C6" s="1" t="s">
        <v>105</v>
      </c>
      <c r="D6" s="1" t="s">
        <v>106</v>
      </c>
      <c r="E6" s="3" t="s">
        <v>243</v>
      </c>
      <c r="F6" s="1" t="s">
        <v>107</v>
      </c>
      <c r="G6" s="1"/>
    </row>
    <row r="7" spans="1:7" ht="21.75" customHeight="1" x14ac:dyDescent="0.4">
      <c r="A7" s="1">
        <v>4</v>
      </c>
      <c r="B7" s="3" t="s">
        <v>108</v>
      </c>
      <c r="C7" s="1" t="s">
        <v>109</v>
      </c>
      <c r="D7" s="1" t="s">
        <v>110</v>
      </c>
      <c r="E7" s="3" t="s">
        <v>100</v>
      </c>
      <c r="F7" s="1" t="s">
        <v>111</v>
      </c>
      <c r="G7" s="1"/>
    </row>
    <row r="8" spans="1:7" ht="21.75" customHeight="1" x14ac:dyDescent="0.4">
      <c r="A8" s="1">
        <v>5</v>
      </c>
      <c r="B8" s="3" t="s">
        <v>239</v>
      </c>
      <c r="C8" s="1" t="s">
        <v>112</v>
      </c>
      <c r="D8" s="1" t="s">
        <v>113</v>
      </c>
      <c r="E8" s="3" t="s">
        <v>245</v>
      </c>
      <c r="F8" s="1" t="s">
        <v>114</v>
      </c>
      <c r="G8" s="1"/>
    </row>
    <row r="9" spans="1:7" ht="21.75" customHeight="1" x14ac:dyDescent="0.4">
      <c r="A9" s="1">
        <v>6</v>
      </c>
      <c r="B9" s="3" t="s">
        <v>115</v>
      </c>
      <c r="C9" s="1" t="s">
        <v>116</v>
      </c>
      <c r="D9" s="1" t="s">
        <v>117</v>
      </c>
      <c r="E9" s="3" t="s">
        <v>247</v>
      </c>
      <c r="F9" s="1" t="s">
        <v>118</v>
      </c>
      <c r="G9" s="1"/>
    </row>
    <row r="10" spans="1:7" ht="21.75" customHeight="1" x14ac:dyDescent="0.4">
      <c r="A10" s="1">
        <v>7</v>
      </c>
      <c r="B10" s="3" t="s">
        <v>242</v>
      </c>
      <c r="C10" s="1" t="s">
        <v>119</v>
      </c>
      <c r="D10" s="1" t="s">
        <v>120</v>
      </c>
      <c r="E10" s="3" t="s">
        <v>248</v>
      </c>
      <c r="F10" s="1" t="s">
        <v>121</v>
      </c>
      <c r="G10" s="1"/>
    </row>
    <row r="11" spans="1:7" ht="21.75" customHeight="1" x14ac:dyDescent="0.4">
      <c r="A11" s="1">
        <v>8</v>
      </c>
      <c r="B11" s="3" t="s">
        <v>122</v>
      </c>
      <c r="C11" s="1" t="s">
        <v>123</v>
      </c>
      <c r="D11" s="1" t="s">
        <v>124</v>
      </c>
      <c r="E11" s="3" t="s">
        <v>125</v>
      </c>
      <c r="F11" s="1" t="s">
        <v>126</v>
      </c>
      <c r="G11" s="1"/>
    </row>
    <row r="12" spans="1:7" ht="21.75" customHeight="1" x14ac:dyDescent="0.4">
      <c r="A12" s="1">
        <v>9</v>
      </c>
      <c r="B12" s="3" t="s">
        <v>127</v>
      </c>
      <c r="C12" s="1" t="s">
        <v>128</v>
      </c>
      <c r="D12" s="1" t="s">
        <v>129</v>
      </c>
      <c r="E12" s="3" t="s">
        <v>249</v>
      </c>
      <c r="F12" s="1" t="s">
        <v>130</v>
      </c>
      <c r="G12" s="1"/>
    </row>
    <row r="13" spans="1:7" ht="21.75" customHeight="1" x14ac:dyDescent="0.4">
      <c r="A13" s="1">
        <v>10</v>
      </c>
      <c r="B13" s="3" t="s">
        <v>131</v>
      </c>
      <c r="C13" s="1" t="s">
        <v>132</v>
      </c>
      <c r="D13" s="1" t="s">
        <v>133</v>
      </c>
      <c r="E13" s="3" t="s">
        <v>185</v>
      </c>
      <c r="F13" s="1" t="s">
        <v>134</v>
      </c>
      <c r="G13" s="1"/>
    </row>
    <row r="14" spans="1:7" ht="21.75" customHeight="1" x14ac:dyDescent="0.4">
      <c r="A14" s="1">
        <v>11</v>
      </c>
      <c r="B14" s="3" t="s">
        <v>135</v>
      </c>
      <c r="C14" s="1" t="s">
        <v>136</v>
      </c>
      <c r="D14" s="1" t="s">
        <v>137</v>
      </c>
      <c r="E14" s="3" t="s">
        <v>250</v>
      </c>
      <c r="F14" s="1" t="s">
        <v>138</v>
      </c>
      <c r="G14" s="1"/>
    </row>
    <row r="15" spans="1:7" ht="21.75" customHeight="1" x14ac:dyDescent="0.4">
      <c r="A15" s="1">
        <v>12</v>
      </c>
      <c r="B15" s="3" t="s">
        <v>139</v>
      </c>
      <c r="C15" s="1" t="s">
        <v>140</v>
      </c>
      <c r="D15" s="1" t="s">
        <v>141</v>
      </c>
      <c r="E15" s="3" t="s">
        <v>251</v>
      </c>
      <c r="F15" s="1" t="s">
        <v>142</v>
      </c>
      <c r="G15" s="1"/>
    </row>
    <row r="16" spans="1:7" ht="21.75" customHeight="1" x14ac:dyDescent="0.4">
      <c r="A16" s="1">
        <v>13</v>
      </c>
      <c r="B16" s="3" t="s">
        <v>237</v>
      </c>
      <c r="C16" s="1" t="s">
        <v>143</v>
      </c>
      <c r="D16" s="1" t="s">
        <v>144</v>
      </c>
      <c r="E16" s="3" t="s">
        <v>252</v>
      </c>
      <c r="F16" s="1" t="s">
        <v>145</v>
      </c>
      <c r="G16" s="1"/>
    </row>
    <row r="17" spans="1:7" ht="21.75" customHeight="1" x14ac:dyDescent="0.4">
      <c r="A17" s="1">
        <v>14</v>
      </c>
      <c r="B17" s="3" t="s">
        <v>146</v>
      </c>
      <c r="C17" s="1" t="s">
        <v>147</v>
      </c>
      <c r="D17" s="1" t="s">
        <v>148</v>
      </c>
      <c r="E17" s="3" t="s">
        <v>253</v>
      </c>
      <c r="F17" s="1" t="s">
        <v>149</v>
      </c>
      <c r="G17" s="1"/>
    </row>
    <row r="18" spans="1:7" ht="21.75" customHeight="1" x14ac:dyDescent="0.4">
      <c r="A18" s="1">
        <v>15</v>
      </c>
      <c r="B18" s="3" t="s">
        <v>150</v>
      </c>
      <c r="C18" s="1" t="s">
        <v>151</v>
      </c>
      <c r="D18" s="1" t="s">
        <v>152</v>
      </c>
      <c r="E18" s="3" t="s">
        <v>254</v>
      </c>
      <c r="F18" s="1" t="s">
        <v>153</v>
      </c>
      <c r="G18" s="1"/>
    </row>
    <row r="19" spans="1:7" ht="21.75" customHeight="1" x14ac:dyDescent="0.4">
      <c r="A19" s="1">
        <v>16</v>
      </c>
      <c r="B19" s="3" t="s">
        <v>154</v>
      </c>
      <c r="C19" s="1" t="s">
        <v>155</v>
      </c>
      <c r="D19" s="1" t="s">
        <v>156</v>
      </c>
      <c r="E19" s="3" t="s">
        <v>255</v>
      </c>
      <c r="F19" s="1" t="s">
        <v>157</v>
      </c>
      <c r="G19" s="1"/>
    </row>
    <row r="20" spans="1:7" ht="21.75" customHeight="1" x14ac:dyDescent="0.4">
      <c r="A20" s="1">
        <v>17</v>
      </c>
      <c r="B20" s="3" t="s">
        <v>158</v>
      </c>
      <c r="C20" s="1" t="s">
        <v>159</v>
      </c>
      <c r="D20" s="1" t="s">
        <v>160</v>
      </c>
      <c r="E20" s="3" t="s">
        <v>256</v>
      </c>
      <c r="F20" s="1" t="s">
        <v>161</v>
      </c>
      <c r="G20" s="1"/>
    </row>
    <row r="21" spans="1:7" ht="21.75" customHeight="1" x14ac:dyDescent="0.4">
      <c r="A21" s="1">
        <v>18</v>
      </c>
      <c r="B21" s="3" t="s">
        <v>162</v>
      </c>
      <c r="C21" s="1" t="s">
        <v>163</v>
      </c>
      <c r="D21" s="1" t="s">
        <v>164</v>
      </c>
      <c r="E21" s="3" t="s">
        <v>257</v>
      </c>
      <c r="F21" s="1" t="s">
        <v>165</v>
      </c>
      <c r="G21" s="1"/>
    </row>
    <row r="22" spans="1:7" ht="21.75" customHeight="1" x14ac:dyDescent="0.4">
      <c r="A22" s="1">
        <v>19</v>
      </c>
      <c r="B22" s="3" t="s">
        <v>166</v>
      </c>
      <c r="C22" s="1" t="s">
        <v>167</v>
      </c>
      <c r="D22" s="1" t="s">
        <v>168</v>
      </c>
      <c r="E22" s="3" t="s">
        <v>258</v>
      </c>
      <c r="F22" s="1" t="s">
        <v>169</v>
      </c>
      <c r="G22" s="1"/>
    </row>
    <row r="23" spans="1:7" ht="21.75" customHeight="1" x14ac:dyDescent="0.4">
      <c r="A23" s="1">
        <v>20</v>
      </c>
      <c r="B23" s="3" t="s">
        <v>170</v>
      </c>
      <c r="C23" s="1" t="s">
        <v>171</v>
      </c>
      <c r="D23" s="1" t="s">
        <v>172</v>
      </c>
      <c r="E23" s="3" t="s">
        <v>259</v>
      </c>
      <c r="F23" s="1" t="s">
        <v>173</v>
      </c>
      <c r="G23" s="1"/>
    </row>
    <row r="24" spans="1:7" ht="21.75" customHeight="1" x14ac:dyDescent="0.4">
      <c r="A24" s="1">
        <v>21</v>
      </c>
      <c r="B24" s="3" t="s">
        <v>174</v>
      </c>
      <c r="C24" s="1" t="s">
        <v>175</v>
      </c>
      <c r="D24" s="1" t="s">
        <v>176</v>
      </c>
      <c r="E24" s="3" t="s">
        <v>260</v>
      </c>
      <c r="F24" s="1" t="s">
        <v>177</v>
      </c>
      <c r="G24" s="1"/>
    </row>
    <row r="25" spans="1:7" ht="21.75" customHeight="1" x14ac:dyDescent="0.4">
      <c r="A25" s="1">
        <v>22</v>
      </c>
      <c r="B25" s="3" t="s">
        <v>178</v>
      </c>
      <c r="C25" s="1" t="s">
        <v>179</v>
      </c>
      <c r="D25" s="1" t="s">
        <v>180</v>
      </c>
      <c r="E25" s="3" t="s">
        <v>261</v>
      </c>
      <c r="F25" s="1" t="s">
        <v>181</v>
      </c>
      <c r="G25" s="1"/>
    </row>
    <row r="26" spans="1:7" ht="21.75" customHeight="1" x14ac:dyDescent="0.4">
      <c r="A26" s="1">
        <v>23</v>
      </c>
      <c r="B26" s="3" t="s">
        <v>182</v>
      </c>
      <c r="C26" s="1" t="s">
        <v>183</v>
      </c>
      <c r="D26" s="1" t="s">
        <v>184</v>
      </c>
      <c r="E26" s="3" t="s">
        <v>262</v>
      </c>
      <c r="F26" s="1" t="s">
        <v>186</v>
      </c>
      <c r="G26" s="1"/>
    </row>
    <row r="27" spans="1:7" ht="21.75" customHeight="1" x14ac:dyDescent="0.4">
      <c r="A27" s="1">
        <v>24</v>
      </c>
      <c r="B27" s="3" t="s">
        <v>187</v>
      </c>
      <c r="C27" s="1" t="s">
        <v>188</v>
      </c>
      <c r="D27" s="1" t="s">
        <v>189</v>
      </c>
      <c r="E27" s="3" t="s">
        <v>263</v>
      </c>
      <c r="F27" s="1" t="s">
        <v>190</v>
      </c>
      <c r="G27" s="1"/>
    </row>
    <row r="28" spans="1:7" ht="21.75" customHeight="1" x14ac:dyDescent="0.4">
      <c r="A28" s="1">
        <v>25</v>
      </c>
      <c r="B28" s="3" t="s">
        <v>191</v>
      </c>
      <c r="C28" s="1" t="s">
        <v>192</v>
      </c>
      <c r="D28" s="1" t="s">
        <v>193</v>
      </c>
      <c r="E28" s="3" t="s">
        <v>264</v>
      </c>
      <c r="F28" s="1" t="s">
        <v>194</v>
      </c>
      <c r="G28" s="1"/>
    </row>
  </sheetData>
  <mergeCells count="1">
    <mergeCell ref="A1:G1"/>
  </mergeCells>
  <phoneticPr fontId="2"/>
  <pageMargins left="0.25" right="0.25" top="0.5" bottom="0.5" header="0.5" footer="0.5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7D9B-D6F4-4CE7-A766-84DEE71EB69E}">
  <dimension ref="A2:B28"/>
  <sheetViews>
    <sheetView workbookViewId="0"/>
  </sheetViews>
  <sheetFormatPr defaultRowHeight="18.75" x14ac:dyDescent="0.4"/>
  <cols>
    <col min="1" max="1" width="14.5" customWidth="1"/>
    <col min="2" max="2" width="40.75" customWidth="1"/>
  </cols>
  <sheetData>
    <row r="2" spans="1:2" ht="19.5" thickBot="1" x14ac:dyDescent="0.45"/>
    <row r="3" spans="1:2" ht="19.5" thickBot="1" x14ac:dyDescent="0.45">
      <c r="A3" s="21" t="s">
        <v>196</v>
      </c>
      <c r="B3" s="21" t="s">
        <v>197</v>
      </c>
    </row>
    <row r="4" spans="1:2" x14ac:dyDescent="0.4">
      <c r="A4" s="22" t="s">
        <v>92</v>
      </c>
      <c r="B4" s="22" t="s">
        <v>221</v>
      </c>
    </row>
    <row r="5" spans="1:2" x14ac:dyDescent="0.4">
      <c r="A5" s="1" t="s">
        <v>222</v>
      </c>
      <c r="B5" s="1" t="s">
        <v>223</v>
      </c>
    </row>
    <row r="6" spans="1:2" x14ac:dyDescent="0.4">
      <c r="A6" s="1" t="s">
        <v>198</v>
      </c>
      <c r="B6" s="1" t="s">
        <v>224</v>
      </c>
    </row>
    <row r="7" spans="1:2" x14ac:dyDescent="0.4">
      <c r="A7" s="1" t="s">
        <v>199</v>
      </c>
      <c r="B7" t="s">
        <v>220</v>
      </c>
    </row>
    <row r="8" spans="1:2" x14ac:dyDescent="0.4">
      <c r="A8" s="1" t="s">
        <v>200</v>
      </c>
      <c r="B8" s="1" t="s">
        <v>225</v>
      </c>
    </row>
    <row r="9" spans="1:2" x14ac:dyDescent="0.4">
      <c r="A9" s="1" t="s">
        <v>201</v>
      </c>
      <c r="B9" s="1" t="s">
        <v>226</v>
      </c>
    </row>
    <row r="10" spans="1:2" x14ac:dyDescent="0.4">
      <c r="A10" s="1" t="s">
        <v>202</v>
      </c>
      <c r="B10" s="1" t="s">
        <v>227</v>
      </c>
    </row>
    <row r="11" spans="1:2" x14ac:dyDescent="0.4">
      <c r="A11" s="1" t="s">
        <v>203</v>
      </c>
      <c r="B11" s="23">
        <v>0.375</v>
      </c>
    </row>
    <row r="12" spans="1:2" x14ac:dyDescent="0.4">
      <c r="A12" s="1" t="s">
        <v>204</v>
      </c>
      <c r="B12" s="23">
        <v>0.75</v>
      </c>
    </row>
    <row r="13" spans="1:2" x14ac:dyDescent="0.4">
      <c r="A13" s="1" t="s">
        <v>205</v>
      </c>
      <c r="B13" s="1" t="s">
        <v>206</v>
      </c>
    </row>
    <row r="14" spans="1:2" x14ac:dyDescent="0.4">
      <c r="A14" s="1" t="s">
        <v>228</v>
      </c>
      <c r="B14" s="1" t="s">
        <v>98</v>
      </c>
    </row>
    <row r="15" spans="1:2" x14ac:dyDescent="0.4">
      <c r="A15" s="1" t="s">
        <v>229</v>
      </c>
      <c r="B15" s="1" t="s">
        <v>102</v>
      </c>
    </row>
    <row r="16" spans="1:2" x14ac:dyDescent="0.4">
      <c r="A16" s="1" t="s">
        <v>207</v>
      </c>
      <c r="B16" s="24">
        <v>185</v>
      </c>
    </row>
    <row r="17" spans="1:2" x14ac:dyDescent="0.4">
      <c r="A17" s="1" t="s">
        <v>208</v>
      </c>
      <c r="B17" s="24">
        <v>482</v>
      </c>
    </row>
    <row r="18" spans="1:2" x14ac:dyDescent="0.4">
      <c r="A18" s="1" t="s">
        <v>230</v>
      </c>
      <c r="B18" s="25">
        <v>1286</v>
      </c>
    </row>
    <row r="19" spans="1:2" x14ac:dyDescent="0.4">
      <c r="A19" s="1" t="s">
        <v>209</v>
      </c>
      <c r="B19" s="26">
        <v>46204</v>
      </c>
    </row>
    <row r="20" spans="1:2" x14ac:dyDescent="0.4">
      <c r="A20" s="1" t="s">
        <v>214</v>
      </c>
      <c r="B20" s="1" t="s">
        <v>231</v>
      </c>
    </row>
    <row r="21" spans="1:2" x14ac:dyDescent="0.4">
      <c r="A21" s="1" t="s">
        <v>215</v>
      </c>
      <c r="B21" s="1" t="s">
        <v>216</v>
      </c>
    </row>
    <row r="22" spans="1:2" x14ac:dyDescent="0.4">
      <c r="A22" s="1" t="s">
        <v>232</v>
      </c>
      <c r="B22" s="1" t="s">
        <v>211</v>
      </c>
    </row>
    <row r="23" spans="1:2" x14ac:dyDescent="0.4">
      <c r="A23" s="1" t="s">
        <v>212</v>
      </c>
      <c r="B23" s="1" t="s">
        <v>213</v>
      </c>
    </row>
    <row r="24" spans="1:2" x14ac:dyDescent="0.4">
      <c r="A24" s="1" t="s">
        <v>210</v>
      </c>
      <c r="B24" s="1" t="s">
        <v>233</v>
      </c>
    </row>
    <row r="25" spans="1:2" x14ac:dyDescent="0.4">
      <c r="A25" s="1" t="s">
        <v>219</v>
      </c>
      <c r="B25" s="1" t="s">
        <v>234</v>
      </c>
    </row>
    <row r="26" spans="1:2" x14ac:dyDescent="0.4">
      <c r="A26" s="1" t="s">
        <v>217</v>
      </c>
      <c r="B26" s="1" t="s">
        <v>218</v>
      </c>
    </row>
    <row r="27" spans="1:2" ht="19.5" thickBot="1" x14ac:dyDescent="0.45">
      <c r="A27" s="27" t="s">
        <v>6</v>
      </c>
      <c r="B27" s="27" t="s">
        <v>235</v>
      </c>
    </row>
    <row r="28" spans="1:2" x14ac:dyDescent="0.4">
      <c r="A28" s="1"/>
      <c r="B28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/>
  </sheetViews>
  <sheetFormatPr defaultRowHeight="16.5" customHeight="1" x14ac:dyDescent="0.4"/>
  <cols>
    <col min="1" max="1" width="17.25" style="3" customWidth="1"/>
    <col min="2" max="4" width="12.625" style="3" customWidth="1"/>
    <col min="5" max="5" width="8.875" style="3" customWidth="1"/>
    <col min="6" max="6" width="17.25" style="3" customWidth="1"/>
    <col min="7" max="16384" width="9" style="3"/>
  </cols>
  <sheetData>
    <row r="1" spans="1:6" ht="18.75" x14ac:dyDescent="0.4"/>
    <row r="2" spans="1:6" ht="24" x14ac:dyDescent="0.4">
      <c r="A2" s="7" t="s">
        <v>236</v>
      </c>
    </row>
    <row r="3" spans="1:6" ht="18.75" x14ac:dyDescent="0.4"/>
    <row r="4" spans="1:6" ht="21" customHeight="1" x14ac:dyDescent="0.4">
      <c r="A4" s="8" t="s">
        <v>41</v>
      </c>
      <c r="B4" s="8" t="s">
        <v>1</v>
      </c>
      <c r="C4" s="8" t="s">
        <v>2</v>
      </c>
      <c r="D4" s="8" t="s">
        <v>42</v>
      </c>
      <c r="E4" s="8" t="s">
        <v>43</v>
      </c>
      <c r="F4" s="8" t="s">
        <v>6</v>
      </c>
    </row>
    <row r="5" spans="1:6" ht="21" customHeight="1" x14ac:dyDescent="0.4">
      <c r="A5" s="3" t="s">
        <v>44</v>
      </c>
      <c r="B5" s="3" t="s">
        <v>7</v>
      </c>
      <c r="C5" s="3" t="s">
        <v>17</v>
      </c>
      <c r="D5" s="3" t="s">
        <v>30</v>
      </c>
      <c r="E5" s="3">
        <v>4</v>
      </c>
    </row>
    <row r="6" spans="1:6" ht="21" customHeight="1" x14ac:dyDescent="0.4">
      <c r="A6" s="3" t="s">
        <v>45</v>
      </c>
      <c r="B6" s="3" t="s">
        <v>7</v>
      </c>
      <c r="C6" s="3" t="s">
        <v>10</v>
      </c>
      <c r="D6" s="3" t="s">
        <v>32</v>
      </c>
      <c r="E6" s="3">
        <v>3</v>
      </c>
    </row>
    <row r="7" spans="1:6" ht="21" customHeight="1" x14ac:dyDescent="0.4">
      <c r="A7" s="3" t="s">
        <v>46</v>
      </c>
      <c r="B7" s="3" t="s">
        <v>23</v>
      </c>
      <c r="C7" s="3" t="s">
        <v>17</v>
      </c>
      <c r="D7" s="3" t="s">
        <v>33</v>
      </c>
      <c r="E7" s="3">
        <v>2</v>
      </c>
    </row>
    <row r="8" spans="1:6" ht="21" customHeight="1" x14ac:dyDescent="0.4">
      <c r="A8" s="3" t="s">
        <v>47</v>
      </c>
      <c r="B8" s="3" t="s">
        <v>12</v>
      </c>
      <c r="C8" s="3" t="s">
        <v>24</v>
      </c>
      <c r="D8" s="3" t="s">
        <v>34</v>
      </c>
      <c r="E8" s="3">
        <v>5</v>
      </c>
    </row>
    <row r="9" spans="1:6" ht="21" customHeight="1" x14ac:dyDescent="0.4">
      <c r="A9" s="3" t="s">
        <v>48</v>
      </c>
      <c r="B9" s="3" t="s">
        <v>16</v>
      </c>
      <c r="C9" s="3" t="s">
        <v>17</v>
      </c>
      <c r="D9" s="3" t="s">
        <v>35</v>
      </c>
      <c r="E9" s="3">
        <v>1</v>
      </c>
    </row>
    <row r="10" spans="1:6" ht="21" customHeight="1" x14ac:dyDescent="0.4">
      <c r="A10" s="3" t="s">
        <v>49</v>
      </c>
      <c r="B10" s="3" t="s">
        <v>23</v>
      </c>
      <c r="C10" s="3" t="s">
        <v>10</v>
      </c>
      <c r="D10" s="3" t="s">
        <v>36</v>
      </c>
      <c r="E10" s="3">
        <v>1</v>
      </c>
    </row>
    <row r="11" spans="1:6" ht="21" customHeight="1" x14ac:dyDescent="0.4">
      <c r="A11" s="3" t="s">
        <v>50</v>
      </c>
      <c r="B11" s="3" t="s">
        <v>7</v>
      </c>
      <c r="C11" s="3" t="s">
        <v>8</v>
      </c>
      <c r="D11" s="3" t="s">
        <v>37</v>
      </c>
      <c r="E11" s="3">
        <v>5</v>
      </c>
    </row>
    <row r="12" spans="1:6" ht="21" customHeight="1" x14ac:dyDescent="0.4">
      <c r="A12" s="3" t="s">
        <v>51</v>
      </c>
      <c r="B12" s="3" t="s">
        <v>12</v>
      </c>
      <c r="C12" s="3" t="s">
        <v>17</v>
      </c>
      <c r="D12" s="3" t="s">
        <v>38</v>
      </c>
      <c r="E12" s="3">
        <v>5</v>
      </c>
    </row>
    <row r="13" spans="1:6" ht="21" customHeight="1" x14ac:dyDescent="0.4">
      <c r="A13" s="3" t="s">
        <v>52</v>
      </c>
      <c r="B13" s="3" t="s">
        <v>16</v>
      </c>
      <c r="C13" s="3" t="s">
        <v>17</v>
      </c>
      <c r="D13" s="3" t="s">
        <v>39</v>
      </c>
      <c r="E13" s="3">
        <v>2</v>
      </c>
    </row>
    <row r="14" spans="1:6" ht="21" customHeight="1" x14ac:dyDescent="0.4">
      <c r="A14" s="3" t="s">
        <v>53</v>
      </c>
      <c r="B14" s="3" t="s">
        <v>7</v>
      </c>
      <c r="C14" s="3" t="s">
        <v>8</v>
      </c>
      <c r="D14" s="3" t="s">
        <v>40</v>
      </c>
      <c r="E14" s="3">
        <v>4</v>
      </c>
    </row>
    <row r="15" spans="1:6" ht="21" customHeight="1" x14ac:dyDescent="0.4">
      <c r="A15" s="3" t="s">
        <v>54</v>
      </c>
      <c r="B15" s="3" t="s">
        <v>16</v>
      </c>
      <c r="C15" s="3" t="s">
        <v>8</v>
      </c>
      <c r="D15" s="3" t="s">
        <v>55</v>
      </c>
      <c r="E15" s="3">
        <v>3</v>
      </c>
    </row>
    <row r="16" spans="1:6" ht="21" customHeight="1" x14ac:dyDescent="0.4">
      <c r="A16" s="3" t="s">
        <v>56</v>
      </c>
      <c r="B16" s="3" t="s">
        <v>7</v>
      </c>
      <c r="C16" s="3" t="s">
        <v>24</v>
      </c>
      <c r="D16" s="3" t="s">
        <v>57</v>
      </c>
      <c r="E16" s="3">
        <v>5</v>
      </c>
    </row>
    <row r="17" spans="1:5" ht="21" customHeight="1" x14ac:dyDescent="0.4">
      <c r="A17" s="3" t="s">
        <v>58</v>
      </c>
      <c r="B17" s="3" t="s">
        <v>23</v>
      </c>
      <c r="C17" s="3" t="s">
        <v>24</v>
      </c>
      <c r="D17" s="3" t="s">
        <v>59</v>
      </c>
      <c r="E17" s="3">
        <v>3</v>
      </c>
    </row>
    <row r="18" spans="1:5" ht="21" customHeight="1" x14ac:dyDescent="0.4">
      <c r="A18" s="3" t="s">
        <v>60</v>
      </c>
      <c r="B18" s="3" t="s">
        <v>23</v>
      </c>
      <c r="C18" s="3" t="s">
        <v>17</v>
      </c>
      <c r="D18" s="3" t="s">
        <v>61</v>
      </c>
      <c r="E18" s="3">
        <v>5</v>
      </c>
    </row>
    <row r="19" spans="1:5" ht="21" customHeight="1" x14ac:dyDescent="0.4">
      <c r="A19" s="3" t="s">
        <v>62</v>
      </c>
      <c r="B19" s="3" t="s">
        <v>16</v>
      </c>
      <c r="C19" s="3" t="s">
        <v>17</v>
      </c>
      <c r="D19" s="3" t="s">
        <v>9</v>
      </c>
      <c r="E19" s="3">
        <v>2</v>
      </c>
    </row>
  </sheetData>
  <phoneticPr fontId="2"/>
  <pageMargins left="0.25" right="0.25" top="0.5" bottom="0.5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社員名簿</vt:lpstr>
      <vt:lpstr>生産集計報告</vt:lpstr>
      <vt:lpstr>取引先リスト</vt:lpstr>
      <vt:lpstr>設定</vt:lpstr>
      <vt:lpstr>見学申込</vt:lpstr>
      <vt:lpstr>出荷数</vt:lpstr>
      <vt:lpstr>出荷率</vt:lpstr>
      <vt:lpstr>本社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Chuhou</cp:lastModifiedBy>
  <dcterms:created xsi:type="dcterms:W3CDTF">2026-06-25T08:25:26Z</dcterms:created>
  <dcterms:modified xsi:type="dcterms:W3CDTF">2026-07-09T04:50:07Z</dcterms:modified>
</cp:coreProperties>
</file>