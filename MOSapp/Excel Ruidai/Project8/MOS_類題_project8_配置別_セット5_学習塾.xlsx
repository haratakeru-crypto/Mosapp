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8\"/>
    </mc:Choice>
  </mc:AlternateContent>
  <xr:revisionPtr revIDLastSave="0" documentId="13_ncr:1_{2F72E034-3A2D-400C-AE9C-D216A0869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ラス数一覧" sheetId="2" r:id="rId1"/>
    <sheet name="模擬試験結果" sheetId="3" r:id="rId2"/>
    <sheet name="講座申込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4" i="3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J6" i="2"/>
  <c r="I6" i="2"/>
</calcChain>
</file>

<file path=xl/sharedStrings.xml><?xml version="1.0" encoding="utf-8"?>
<sst xmlns="http://schemas.openxmlformats.org/spreadsheetml/2006/main" count="281" uniqueCount="136">
  <si>
    <t>No.</t>
  </si>
  <si>
    <t>平均</t>
  </si>
  <si>
    <t>模擬試験結果一覧</t>
  </si>
  <si>
    <t>氏名</t>
  </si>
  <si>
    <t>生徒番号</t>
  </si>
  <si>
    <t>点数</t>
  </si>
  <si>
    <t>コース</t>
  </si>
  <si>
    <t>合否</t>
  </si>
  <si>
    <t>ゼミ</t>
  </si>
  <si>
    <t>評価</t>
  </si>
  <si>
    <t>教室略称</t>
  </si>
  <si>
    <t>佐藤 太郎</t>
  </si>
  <si>
    <t>M5720SB</t>
  </si>
  <si>
    <t>発展</t>
  </si>
  <si>
    <t>C</t>
  </si>
  <si>
    <t>高橋 美咲</t>
  </si>
  <si>
    <t>M4241YH</t>
  </si>
  <si>
    <t>標準</t>
  </si>
  <si>
    <t>B</t>
  </si>
  <si>
    <t>田中 健一</t>
  </si>
  <si>
    <t>M1977SJ</t>
  </si>
  <si>
    <t>応用</t>
  </si>
  <si>
    <t>鈴木 陽介</t>
  </si>
  <si>
    <t>M5982YH</t>
  </si>
  <si>
    <t>鈴木 結衣</t>
  </si>
  <si>
    <t>M1653YH</t>
  </si>
  <si>
    <t>伊藤 健一</t>
  </si>
  <si>
    <t>M2496SJ</t>
  </si>
  <si>
    <t>基礎</t>
  </si>
  <si>
    <t>M8708KS</t>
  </si>
  <si>
    <t>A</t>
  </si>
  <si>
    <t>山本 莉子</t>
  </si>
  <si>
    <t>M9056IK</t>
  </si>
  <si>
    <t>渡辺 莉子</t>
  </si>
  <si>
    <t>M2713SJ</t>
  </si>
  <si>
    <t>山本 結衣</t>
  </si>
  <si>
    <t>M1601YH</t>
  </si>
  <si>
    <t>渡辺 健一</t>
  </si>
  <si>
    <t>M7622KS</t>
  </si>
  <si>
    <t>M9494SB</t>
  </si>
  <si>
    <t>M9998SJ</t>
  </si>
  <si>
    <t>中村 健一</t>
  </si>
  <si>
    <t>M1472KS</t>
  </si>
  <si>
    <t>佐藤 結衣</t>
  </si>
  <si>
    <t>M7684IK</t>
  </si>
  <si>
    <t>鈴木 莉子</t>
  </si>
  <si>
    <t>M3522YH</t>
  </si>
  <si>
    <t>中村 陽介</t>
  </si>
  <si>
    <t>M4993YH</t>
  </si>
  <si>
    <t>M5526YH</t>
  </si>
  <si>
    <t>伊藤 結衣</t>
  </si>
  <si>
    <t>M9022SJ</t>
  </si>
  <si>
    <t>山本 陽介</t>
  </si>
  <si>
    <t>M6272SJ</t>
  </si>
  <si>
    <t>山本 太郎</t>
  </si>
  <si>
    <t>M7730IK</t>
  </si>
  <si>
    <t>田中 陽介</t>
  </si>
  <si>
    <t>M1606SJ</t>
  </si>
  <si>
    <t>M8486IK</t>
  </si>
  <si>
    <t>M8692SB</t>
  </si>
  <si>
    <t>高校英語長文</t>
  </si>
  <si>
    <t>中学社会総合</t>
  </si>
  <si>
    <t>中学数学発展</t>
  </si>
  <si>
    <t>中学英語基礎</t>
  </si>
  <si>
    <t>高校数学IA</t>
  </si>
  <si>
    <t>中学国語読解</t>
  </si>
  <si>
    <t>高校化学演習</t>
  </si>
  <si>
    <t>高校物理応用</t>
  </si>
  <si>
    <t>曜日</t>
  </si>
  <si>
    <t>国語</t>
  </si>
  <si>
    <t>数学</t>
  </si>
  <si>
    <t>英語</t>
  </si>
  <si>
    <t>理科</t>
  </si>
  <si>
    <t>社会</t>
  </si>
  <si>
    <t>合計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</si>
  <si>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</si>
  <si>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</si>
  <si>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</si>
  <si>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</si>
  <si>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</si>
  <si>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</si>
  <si>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</si>
  <si>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週</t>
    <rPh sb="0" eb="1">
      <t>シュウ</t>
    </rPh>
    <phoneticPr fontId="1"/>
  </si>
  <si>
    <t>1週目</t>
    <rPh sb="1" eb="2">
      <t>シュウ</t>
    </rPh>
    <rPh sb="2" eb="3">
      <t>メ</t>
    </rPh>
    <phoneticPr fontId="1"/>
  </si>
  <si>
    <t>2週目</t>
    <rPh sb="1" eb="2">
      <t>シュウ</t>
    </rPh>
    <rPh sb="2" eb="3">
      <t>メ</t>
    </rPh>
    <phoneticPr fontId="1"/>
  </si>
  <si>
    <t>3週目</t>
    <rPh sb="1" eb="2">
      <t>シュウ</t>
    </rPh>
    <rPh sb="2" eb="3">
      <t>メ</t>
    </rPh>
    <phoneticPr fontId="1"/>
  </si>
  <si>
    <t>4週目</t>
    <rPh sb="1" eb="2">
      <t>シュウ</t>
    </rPh>
    <rPh sb="2" eb="3">
      <t>メ</t>
    </rPh>
    <phoneticPr fontId="1"/>
  </si>
  <si>
    <t>進学コース クラス数一覧</t>
    <rPh sb="0" eb="2">
      <t>シンガク</t>
    </rPh>
    <rPh sb="9" eb="10">
      <t>スウ</t>
    </rPh>
    <rPh sb="10" eb="12">
      <t>イチラン</t>
    </rPh>
    <phoneticPr fontId="1"/>
  </si>
  <si>
    <t>最大クラス数</t>
    <rPh sb="0" eb="2">
      <t>サイダイ</t>
    </rPh>
    <rPh sb="5" eb="6">
      <t>スウ</t>
    </rPh>
    <phoneticPr fontId="1"/>
  </si>
  <si>
    <t>申し込み講座履歴</t>
  </si>
  <si>
    <t>申し込み講座履歴</t>
    <rPh sb="0" eb="1">
      <t>モウ</t>
    </rPh>
    <rPh sb="2" eb="3">
      <t>コ</t>
    </rPh>
    <rPh sb="4" eb="6">
      <t>コウザ</t>
    </rPh>
    <rPh sb="6" eb="8">
      <t>リレキ</t>
    </rPh>
    <phoneticPr fontId="1"/>
  </si>
  <si>
    <t>受講者ID</t>
  </si>
  <si>
    <t>学年</t>
  </si>
  <si>
    <t>申込日</t>
  </si>
  <si>
    <t>受講状況</t>
  </si>
  <si>
    <t>S1001</t>
  </si>
  <si>
    <t>高1</t>
  </si>
  <si>
    <t>受講中</t>
  </si>
  <si>
    <t>S1002</t>
  </si>
  <si>
    <t>中3</t>
  </si>
  <si>
    <t>修了</t>
  </si>
  <si>
    <t>S1003</t>
  </si>
  <si>
    <t>中2</t>
  </si>
  <si>
    <t>S1004</t>
  </si>
  <si>
    <t>中1</t>
  </si>
  <si>
    <t>S1005</t>
  </si>
  <si>
    <t>S1006</t>
  </si>
  <si>
    <t>キャンセル</t>
  </si>
  <si>
    <t>S1007</t>
  </si>
  <si>
    <t>高2</t>
  </si>
  <si>
    <t>S1008</t>
  </si>
  <si>
    <t>S1009</t>
  </si>
  <si>
    <t>S1010</t>
  </si>
  <si>
    <t>高3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</si>
  <si>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</si>
  <si>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</si>
  <si>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</si>
  <si>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</si>
  <si>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</si>
  <si>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</si>
  <si>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</si>
  <si>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</si>
  <si>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</si>
  <si>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</si>
  <si>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</si>
  <si>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</si>
  <si>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</si>
  <si>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</si>
  <si>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</si>
  <si>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</si>
  <si>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</si>
  <si>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</si>
  <si>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取り扱い講座</t>
    <rPh sb="0" eb="1">
      <t>ト</t>
    </rPh>
    <rPh sb="2" eb="3">
      <t>アツカ</t>
    </rPh>
    <phoneticPr fontId="1"/>
  </si>
  <si>
    <t>発展</t>
    <phoneticPr fontId="1"/>
  </si>
  <si>
    <t>受験者数</t>
    <rPh sb="0" eb="3">
      <t>ジュケンシャ</t>
    </rPh>
    <rPh sb="3" eb="4">
      <t>スウ</t>
    </rPh>
    <phoneticPr fontId="1"/>
  </si>
  <si>
    <t>未受験者数</t>
    <rPh sb="0" eb="1">
      <t>ミ</t>
    </rPh>
    <rPh sb="1" eb="3">
      <t>ジュケン</t>
    </rPh>
    <rPh sb="3" eb="4">
      <t>シャ</t>
    </rPh>
    <rPh sb="4" eb="5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</si>
</sst>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b/>
      <sz val="12"/>
      <color theme="0"/>
      <name val="游ゴシック"/>
      <family val="3"/>
      <charset val="128"/>
      <scheme val="minor"/>
    </font>
    <font>
      <b/>
      <sz val="18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theme="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theme="7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0" applyFont="1" applyAlignment="1">
      <alignment horizontal="left"/>
    </xf>
    <xf numFmtId="14" fontId="0" fillId="4" borderId="6" xfId="0" applyNumberFormat="1" applyFill="1" applyBorder="1" applyAlignment="1">
      <alignment vertical="center"/>
    </xf>
    <xf numFmtId="14" fontId="0" fillId="0" borderId="0" xfId="0" applyNumberFormat="1" applyAlignment="1">
      <alignment vertical="center"/>
    </xf>
    <xf numFmtId="14" fontId="0" fillId="4" borderId="0" xfId="0" applyNumberFormat="1" applyFill="1" applyAlignment="1">
      <alignment vertical="center"/>
    </xf>
    <xf numFmtId="14" fontId="0" fillId="0" borderId="5" xfId="0" applyNumberForma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イオン ボードルーム">
  <a:themeElements>
    <a:clrScheme name="シック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イオン ボードルーム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/>
  </sheetViews>
  <sheetFormatPr defaultRowHeight="18.75" x14ac:dyDescent="0.4"/>
  <cols>
    <col min="1" max="1" width="3" customWidth="1"/>
    <col min="2" max="2" width="15" style="1" customWidth="1"/>
    <col min="3" max="8" width="11.375" customWidth="1"/>
    <col min="9" max="9" width="13.25" customWidth="1"/>
    <col min="10" max="10" width="15.875" customWidth="1"/>
    <col min="12" max="12" width="15.125" customWidth="1"/>
  </cols>
  <sheetData>
    <row r="1" spans="1:10" ht="27" customHeight="1" x14ac:dyDescent="0.4">
      <c r="A1" s="27"/>
      <c r="B1" s="28" t="s">
        <v>87</v>
      </c>
    </row>
    <row r="2" spans="1:10" ht="21.75" customHeight="1" x14ac:dyDescent="0.4">
      <c r="B2" s="5" t="s">
        <v>88</v>
      </c>
    </row>
    <row r="3" spans="1:10" ht="27" customHeight="1" x14ac:dyDescent="0.4">
      <c r="B3" s="3"/>
    </row>
    <row r="5" spans="1:10" s="1" customFormat="1" x14ac:dyDescent="0.4">
      <c r="B5" s="20" t="s">
        <v>82</v>
      </c>
      <c r="C5" s="20" t="s">
        <v>68</v>
      </c>
      <c r="D5" s="20" t="s">
        <v>69</v>
      </c>
      <c r="E5" s="20" t="s">
        <v>70</v>
      </c>
      <c r="F5" s="20" t="s">
        <v>71</v>
      </c>
      <c r="G5" s="20" t="s">
        <v>72</v>
      </c>
      <c r="H5" s="20" t="s">
        <v>73</v>
      </c>
      <c r="I5" s="21" t="s">
        <v>74</v>
      </c>
      <c r="J5" s="2" t="s">
        <v>1</v>
      </c>
    </row>
    <row r="6" spans="1:10" x14ac:dyDescent="0.4">
      <c r="B6" s="25" t="s">
        <v>83</v>
      </c>
      <c r="C6" s="22" t="s">
        <v>75</v>
      </c>
      <c r="D6" s="22">
        <v>5</v>
      </c>
      <c r="E6" s="22">
        <v>8</v>
      </c>
      <c r="F6" s="22">
        <v>6</v>
      </c>
      <c r="G6" s="22">
        <v>4</v>
      </c>
      <c r="H6" s="22">
        <v>7</v>
      </c>
      <c r="I6" s="23">
        <f>SUM(D6:H6)</f>
        <v>30</v>
      </c>
      <c r="J6" s="4">
        <f>AVERAGE(D6:H6)</f>
        <v>6</v>
      </c>
    </row>
    <row r="7" spans="1:10" x14ac:dyDescent="0.4">
      <c r="B7" s="25" t="s">
        <v>84</v>
      </c>
      <c r="C7" s="22" t="s">
        <v>76</v>
      </c>
      <c r="D7" s="22">
        <v>7</v>
      </c>
      <c r="E7" s="22">
        <v>4</v>
      </c>
      <c r="F7" s="22">
        <v>9</v>
      </c>
      <c r="G7" s="22">
        <v>5</v>
      </c>
      <c r="H7" s="22">
        <v>3</v>
      </c>
      <c r="I7" s="23">
        <f t="shared" ref="I7:I29" si="0">SUM(D7:H7)</f>
        <v>28</v>
      </c>
      <c r="J7" s="4"/>
    </row>
    <row r="8" spans="1:10" x14ac:dyDescent="0.4">
      <c r="B8" s="25" t="s">
        <v>85</v>
      </c>
      <c r="C8" s="22" t="s">
        <v>77</v>
      </c>
      <c r="D8" s="22">
        <v>6</v>
      </c>
      <c r="E8" s="22">
        <v>7</v>
      </c>
      <c r="F8" s="22">
        <v>5</v>
      </c>
      <c r="G8" s="22">
        <v>8</v>
      </c>
      <c r="H8" s="22">
        <v>4</v>
      </c>
      <c r="I8" s="23">
        <f t="shared" si="0"/>
        <v>30</v>
      </c>
      <c r="J8" s="4"/>
    </row>
    <row r="9" spans="1:10" x14ac:dyDescent="0.4">
      <c r="B9" s="25" t="s">
        <v>86</v>
      </c>
      <c r="C9" s="22" t="s">
        <v>78</v>
      </c>
      <c r="D9" s="22">
        <v>8</v>
      </c>
      <c r="E9" s="22">
        <v>3</v>
      </c>
      <c r="F9" s="22">
        <v>7</v>
      </c>
      <c r="G9" s="22">
        <v>6</v>
      </c>
      <c r="H9" s="22">
        <v>5</v>
      </c>
      <c r="I9" s="23">
        <f t="shared" si="0"/>
        <v>29</v>
      </c>
      <c r="J9" s="4"/>
    </row>
    <row r="10" spans="1:10" x14ac:dyDescent="0.4">
      <c r="B10" s="25" t="s">
        <v>83</v>
      </c>
      <c r="C10" s="22" t="s">
        <v>79</v>
      </c>
      <c r="D10" s="22">
        <v>4</v>
      </c>
      <c r="E10" s="22">
        <v>9</v>
      </c>
      <c r="F10" s="22">
        <v>8</v>
      </c>
      <c r="G10" s="22">
        <v>3</v>
      </c>
      <c r="H10" s="22">
        <v>6</v>
      </c>
      <c r="I10" s="23">
        <f t="shared" si="0"/>
        <v>30</v>
      </c>
      <c r="J10" s="4"/>
    </row>
    <row r="11" spans="1:10" x14ac:dyDescent="0.4">
      <c r="B11" s="25" t="s">
        <v>84</v>
      </c>
      <c r="C11" s="22" t="s">
        <v>80</v>
      </c>
      <c r="D11" s="22">
        <v>9</v>
      </c>
      <c r="E11" s="22">
        <v>5</v>
      </c>
      <c r="F11" s="22">
        <v>4</v>
      </c>
      <c r="G11" s="22">
        <v>7</v>
      </c>
      <c r="H11" s="22">
        <v>8</v>
      </c>
      <c r="I11" s="23">
        <f t="shared" si="0"/>
        <v>33</v>
      </c>
      <c r="J11" s="4"/>
    </row>
    <row r="12" spans="1:10" x14ac:dyDescent="0.4">
      <c r="B12" s="25" t="s">
        <v>85</v>
      </c>
      <c r="C12" s="22" t="s">
        <v>81</v>
      </c>
      <c r="D12" s="22">
        <v>3</v>
      </c>
      <c r="E12" s="22">
        <v>6</v>
      </c>
      <c r="F12" s="22">
        <v>7</v>
      </c>
      <c r="G12" s="22">
        <v>9</v>
      </c>
      <c r="H12" s="22">
        <v>5</v>
      </c>
      <c r="I12" s="23">
        <f t="shared" si="0"/>
        <v>30</v>
      </c>
      <c r="J12" s="4"/>
    </row>
    <row r="13" spans="1:10" x14ac:dyDescent="0.4">
      <c r="B13" s="25" t="s">
        <v>86</v>
      </c>
      <c r="C13" s="22" t="s">
        <v>75</v>
      </c>
      <c r="D13" s="22">
        <v>8</v>
      </c>
      <c r="E13" s="22">
        <v>7</v>
      </c>
      <c r="F13" s="22">
        <v>3</v>
      </c>
      <c r="G13" s="22">
        <v>5</v>
      </c>
      <c r="H13" s="22">
        <v>9</v>
      </c>
      <c r="I13" s="23">
        <f t="shared" si="0"/>
        <v>32</v>
      </c>
      <c r="J13" s="4"/>
    </row>
    <row r="14" spans="1:10" x14ac:dyDescent="0.4">
      <c r="B14" s="25" t="s">
        <v>83</v>
      </c>
      <c r="C14" s="22" t="s">
        <v>76</v>
      </c>
      <c r="D14" s="22">
        <v>6</v>
      </c>
      <c r="E14" s="22">
        <v>4</v>
      </c>
      <c r="F14" s="22">
        <v>8</v>
      </c>
      <c r="G14" s="22">
        <v>7</v>
      </c>
      <c r="H14" s="22">
        <v>3</v>
      </c>
      <c r="I14" s="23">
        <f t="shared" si="0"/>
        <v>28</v>
      </c>
      <c r="J14" s="4"/>
    </row>
    <row r="15" spans="1:10" x14ac:dyDescent="0.4">
      <c r="B15" s="25" t="s">
        <v>84</v>
      </c>
      <c r="C15" s="22" t="s">
        <v>77</v>
      </c>
      <c r="D15" s="22">
        <v>5</v>
      </c>
      <c r="E15" s="22">
        <v>9</v>
      </c>
      <c r="F15" s="22">
        <v>6</v>
      </c>
      <c r="G15" s="22">
        <v>4</v>
      </c>
      <c r="H15" s="22">
        <v>8</v>
      </c>
      <c r="I15" s="23">
        <f t="shared" si="0"/>
        <v>32</v>
      </c>
      <c r="J15" s="4"/>
    </row>
    <row r="16" spans="1:10" x14ac:dyDescent="0.4">
      <c r="B16" s="25" t="s">
        <v>85</v>
      </c>
      <c r="C16" s="22" t="s">
        <v>78</v>
      </c>
      <c r="D16" s="22">
        <v>7</v>
      </c>
      <c r="E16" s="22">
        <v>5</v>
      </c>
      <c r="F16" s="22">
        <v>9</v>
      </c>
      <c r="G16" s="22">
        <v>6</v>
      </c>
      <c r="H16" s="22">
        <v>4</v>
      </c>
      <c r="I16" s="23">
        <f t="shared" si="0"/>
        <v>31</v>
      </c>
      <c r="J16" s="4"/>
    </row>
    <row r="17" spans="2:10" x14ac:dyDescent="0.4">
      <c r="B17" s="25" t="s">
        <v>86</v>
      </c>
      <c r="C17" s="22" t="s">
        <v>79</v>
      </c>
      <c r="D17" s="22">
        <v>4</v>
      </c>
      <c r="E17" s="22">
        <v>8</v>
      </c>
      <c r="F17" s="22">
        <v>5</v>
      </c>
      <c r="G17" s="22">
        <v>7</v>
      </c>
      <c r="H17" s="22">
        <v>9</v>
      </c>
      <c r="I17" s="23">
        <f t="shared" si="0"/>
        <v>33</v>
      </c>
      <c r="J17" s="4"/>
    </row>
    <row r="18" spans="2:10" x14ac:dyDescent="0.4">
      <c r="B18" s="25" t="s">
        <v>83</v>
      </c>
      <c r="C18" s="22" t="s">
        <v>80</v>
      </c>
      <c r="D18" s="22">
        <v>9</v>
      </c>
      <c r="E18" s="22">
        <v>6</v>
      </c>
      <c r="F18" s="22">
        <v>4</v>
      </c>
      <c r="G18" s="22">
        <v>8</v>
      </c>
      <c r="H18" s="22">
        <v>5</v>
      </c>
      <c r="I18" s="23">
        <f t="shared" si="0"/>
        <v>32</v>
      </c>
      <c r="J18" s="4"/>
    </row>
    <row r="19" spans="2:10" x14ac:dyDescent="0.4">
      <c r="B19" s="25" t="s">
        <v>84</v>
      </c>
      <c r="C19" s="22" t="s">
        <v>81</v>
      </c>
      <c r="D19" s="22">
        <v>5</v>
      </c>
      <c r="E19" s="22">
        <v>7</v>
      </c>
      <c r="F19" s="22">
        <v>8</v>
      </c>
      <c r="G19" s="22">
        <v>3</v>
      </c>
      <c r="H19" s="22">
        <v>6</v>
      </c>
      <c r="I19" s="23">
        <f t="shared" si="0"/>
        <v>29</v>
      </c>
      <c r="J19" s="4"/>
    </row>
    <row r="20" spans="2:10" x14ac:dyDescent="0.4">
      <c r="B20" s="25" t="s">
        <v>85</v>
      </c>
      <c r="C20" s="22" t="s">
        <v>75</v>
      </c>
      <c r="D20" s="22">
        <v>8</v>
      </c>
      <c r="E20" s="22">
        <v>4</v>
      </c>
      <c r="F20" s="22">
        <v>6</v>
      </c>
      <c r="G20" s="22">
        <v>9</v>
      </c>
      <c r="H20" s="22">
        <v>7</v>
      </c>
      <c r="I20" s="23">
        <f t="shared" si="0"/>
        <v>34</v>
      </c>
      <c r="J20" s="4"/>
    </row>
    <row r="21" spans="2:10" x14ac:dyDescent="0.4">
      <c r="B21" s="25" t="s">
        <v>86</v>
      </c>
      <c r="C21" s="22" t="s">
        <v>76</v>
      </c>
      <c r="D21" s="22">
        <v>6</v>
      </c>
      <c r="E21" s="22">
        <v>9</v>
      </c>
      <c r="F21" s="22">
        <v>5</v>
      </c>
      <c r="G21" s="22">
        <v>4</v>
      </c>
      <c r="H21" s="22">
        <v>8</v>
      </c>
      <c r="I21" s="23">
        <f t="shared" si="0"/>
        <v>32</v>
      </c>
      <c r="J21" s="4"/>
    </row>
    <row r="22" spans="2:10" x14ac:dyDescent="0.4">
      <c r="B22" s="25" t="s">
        <v>83</v>
      </c>
      <c r="C22" s="22" t="s">
        <v>77</v>
      </c>
      <c r="D22" s="22">
        <v>7</v>
      </c>
      <c r="E22" s="22">
        <v>3</v>
      </c>
      <c r="F22" s="22">
        <v>9</v>
      </c>
      <c r="G22" s="22">
        <v>5</v>
      </c>
      <c r="H22" s="22">
        <v>4</v>
      </c>
      <c r="I22" s="23">
        <f t="shared" si="0"/>
        <v>28</v>
      </c>
      <c r="J22" s="4"/>
    </row>
    <row r="23" spans="2:10" x14ac:dyDescent="0.4">
      <c r="B23" s="25" t="s">
        <v>84</v>
      </c>
      <c r="C23" s="22" t="s">
        <v>78</v>
      </c>
      <c r="D23" s="22">
        <v>4</v>
      </c>
      <c r="E23" s="22">
        <v>6</v>
      </c>
      <c r="F23" s="22">
        <v>7</v>
      </c>
      <c r="G23" s="22">
        <v>8</v>
      </c>
      <c r="H23" s="22">
        <v>9</v>
      </c>
      <c r="I23" s="23">
        <f t="shared" si="0"/>
        <v>34</v>
      </c>
      <c r="J23" s="4"/>
    </row>
    <row r="24" spans="2:10" x14ac:dyDescent="0.4">
      <c r="B24" s="25" t="s">
        <v>85</v>
      </c>
      <c r="C24" s="22" t="s">
        <v>79</v>
      </c>
      <c r="D24" s="22">
        <v>9</v>
      </c>
      <c r="E24" s="22">
        <v>5</v>
      </c>
      <c r="F24" s="22">
        <v>3</v>
      </c>
      <c r="G24" s="22">
        <v>7</v>
      </c>
      <c r="H24" s="22">
        <v>6</v>
      </c>
      <c r="I24" s="23">
        <f t="shared" si="0"/>
        <v>30</v>
      </c>
      <c r="J24" s="4"/>
    </row>
    <row r="25" spans="2:10" x14ac:dyDescent="0.4">
      <c r="B25" s="25" t="s">
        <v>86</v>
      </c>
      <c r="C25" s="22" t="s">
        <v>80</v>
      </c>
      <c r="D25" s="22">
        <v>5</v>
      </c>
      <c r="E25" s="22">
        <v>8</v>
      </c>
      <c r="F25" s="22">
        <v>4</v>
      </c>
      <c r="G25" s="22">
        <v>9</v>
      </c>
      <c r="H25" s="22">
        <v>7</v>
      </c>
      <c r="I25" s="23">
        <f t="shared" si="0"/>
        <v>33</v>
      </c>
      <c r="J25" s="4"/>
    </row>
    <row r="26" spans="2:10" x14ac:dyDescent="0.4">
      <c r="B26" s="25" t="s">
        <v>83</v>
      </c>
      <c r="C26" s="22" t="s">
        <v>81</v>
      </c>
      <c r="D26" s="22">
        <v>8</v>
      </c>
      <c r="E26" s="22">
        <v>6</v>
      </c>
      <c r="F26" s="22">
        <v>5</v>
      </c>
      <c r="G26" s="22">
        <v>4</v>
      </c>
      <c r="H26" s="22">
        <v>9</v>
      </c>
      <c r="I26" s="23">
        <f t="shared" si="0"/>
        <v>32</v>
      </c>
      <c r="J26" s="4"/>
    </row>
    <row r="27" spans="2:10" x14ac:dyDescent="0.4">
      <c r="B27" s="25" t="s">
        <v>84</v>
      </c>
      <c r="C27" s="22" t="s">
        <v>75</v>
      </c>
      <c r="D27" s="22">
        <v>7</v>
      </c>
      <c r="E27" s="22">
        <v>9</v>
      </c>
      <c r="F27" s="22">
        <v>6</v>
      </c>
      <c r="G27" s="22">
        <v>5</v>
      </c>
      <c r="H27" s="22">
        <v>3</v>
      </c>
      <c r="I27" s="23">
        <f t="shared" si="0"/>
        <v>30</v>
      </c>
      <c r="J27" s="4"/>
    </row>
    <row r="28" spans="2:10" x14ac:dyDescent="0.4">
      <c r="B28" s="25" t="s">
        <v>85</v>
      </c>
      <c r="C28" s="22" t="s">
        <v>76</v>
      </c>
      <c r="D28" s="22">
        <v>3</v>
      </c>
      <c r="E28" s="22">
        <v>7</v>
      </c>
      <c r="F28" s="22">
        <v>8</v>
      </c>
      <c r="G28" s="22">
        <v>6</v>
      </c>
      <c r="H28" s="22">
        <v>5</v>
      </c>
      <c r="I28" s="23">
        <f t="shared" si="0"/>
        <v>29</v>
      </c>
      <c r="J28" s="4"/>
    </row>
    <row r="29" spans="2:10" x14ac:dyDescent="0.4">
      <c r="B29" s="26" t="s">
        <v>86</v>
      </c>
      <c r="C29" s="24" t="s">
        <v>77</v>
      </c>
      <c r="D29" s="24">
        <v>6</v>
      </c>
      <c r="E29" s="24">
        <v>4</v>
      </c>
      <c r="F29" s="24">
        <v>9</v>
      </c>
      <c r="G29" s="24">
        <v>7</v>
      </c>
      <c r="H29" s="24">
        <v>8</v>
      </c>
      <c r="I29" s="4">
        <f t="shared" si="0"/>
        <v>34</v>
      </c>
      <c r="J29" s="4"/>
    </row>
  </sheetData>
  <phoneticPr fontId="1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27"/>
  <sheetViews>
    <sheetView workbookViewId="0"/>
  </sheetViews>
  <sheetFormatPr defaultRowHeight="18.75" x14ac:dyDescent="0.4"/>
  <cols>
    <col min="1" max="1" width="6" style="6" customWidth="1"/>
    <col min="2" max="2" width="16" style="6" customWidth="1"/>
    <col min="3" max="3" width="12" style="6" customWidth="1"/>
    <col min="4" max="4" width="10" style="6" customWidth="1"/>
    <col min="5" max="5" width="12" style="6" customWidth="1"/>
    <col min="6" max="7" width="10" style="6" customWidth="1"/>
    <col min="8" max="8" width="10" style="17" customWidth="1"/>
    <col min="9" max="9" width="14" style="6" customWidth="1"/>
    <col min="10" max="10" width="11.375" style="6" customWidth="1"/>
    <col min="11" max="11" width="17.75" style="6" customWidth="1"/>
    <col min="12" max="12" width="14.625" style="6" customWidth="1"/>
    <col min="13" max="16384" width="9" style="6"/>
  </cols>
  <sheetData>
    <row r="2" spans="1:12" ht="24" x14ac:dyDescent="0.4">
      <c r="A2" s="31" t="s">
        <v>2</v>
      </c>
      <c r="B2" s="31"/>
      <c r="C2" s="31"/>
      <c r="D2" s="31"/>
      <c r="E2" s="31"/>
      <c r="F2" s="31"/>
      <c r="G2" s="31"/>
      <c r="H2" s="31"/>
      <c r="I2" s="31"/>
      <c r="K2" s="18" t="s">
        <v>134</v>
      </c>
      <c r="L2" s="18" t="s">
        <v>135</v>
      </c>
    </row>
    <row r="3" spans="1:12" s="17" customFormat="1" ht="39" customHeight="1" x14ac:dyDescent="0.4">
      <c r="A3" s="18" t="s">
        <v>0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K3" s="19"/>
      <c r="L3" s="19"/>
    </row>
    <row r="4" spans="1:12" ht="21.95" customHeight="1" x14ac:dyDescent="0.4">
      <c r="A4" s="19">
        <v>1</v>
      </c>
      <c r="B4" s="19" t="s">
        <v>11</v>
      </c>
      <c r="C4" s="19" t="s">
        <v>12</v>
      </c>
      <c r="D4" s="19">
        <v>84</v>
      </c>
      <c r="E4" s="19" t="s">
        <v>13</v>
      </c>
      <c r="F4" s="19" t="str">
        <f>IF(D4&gt;=75,"合格","不合格")</f>
        <v>合格</v>
      </c>
      <c r="G4" s="19"/>
      <c r="H4" s="29" t="s">
        <v>14</v>
      </c>
      <c r="I4" s="29"/>
    </row>
    <row r="5" spans="1:12" ht="21.95" customHeight="1" x14ac:dyDescent="0.4">
      <c r="A5" s="19">
        <v>2</v>
      </c>
      <c r="B5" s="19" t="s">
        <v>15</v>
      </c>
      <c r="C5" s="19" t="s">
        <v>16</v>
      </c>
      <c r="D5" s="19">
        <v>47</v>
      </c>
      <c r="E5" s="19" t="s">
        <v>17</v>
      </c>
      <c r="F5" s="19" t="str">
        <f t="shared" ref="F5:F27" si="0">IF(D5&gt;=75,"合格","不合格")</f>
        <v>不合格</v>
      </c>
      <c r="G5" s="19"/>
      <c r="H5" s="29" t="s">
        <v>18</v>
      </c>
      <c r="I5" s="29"/>
    </row>
    <row r="6" spans="1:12" ht="21.95" customHeight="1" x14ac:dyDescent="0.4">
      <c r="A6" s="19">
        <v>3</v>
      </c>
      <c r="B6" s="19" t="s">
        <v>19</v>
      </c>
      <c r="C6" s="19" t="s">
        <v>20</v>
      </c>
      <c r="D6" s="19">
        <v>90</v>
      </c>
      <c r="E6" s="19" t="s">
        <v>133</v>
      </c>
      <c r="F6" s="19" t="str">
        <f t="shared" si="0"/>
        <v>合格</v>
      </c>
      <c r="G6" s="19"/>
      <c r="H6" s="29" t="s">
        <v>18</v>
      </c>
      <c r="I6" s="29"/>
    </row>
    <row r="7" spans="1:12" ht="21.95" customHeight="1" x14ac:dyDescent="0.4">
      <c r="A7" s="19">
        <v>4</v>
      </c>
      <c r="B7" s="19" t="s">
        <v>22</v>
      </c>
      <c r="C7" s="19" t="s">
        <v>23</v>
      </c>
      <c r="D7" s="19">
        <v>100</v>
      </c>
      <c r="E7" s="19" t="s">
        <v>21</v>
      </c>
      <c r="F7" s="19" t="str">
        <f t="shared" si="0"/>
        <v>合格</v>
      </c>
      <c r="G7" s="19"/>
      <c r="H7" s="29" t="s">
        <v>18</v>
      </c>
      <c r="I7" s="29"/>
    </row>
    <row r="8" spans="1:12" ht="21.95" customHeight="1" x14ac:dyDescent="0.4">
      <c r="A8" s="19">
        <v>5</v>
      </c>
      <c r="B8" s="19" t="s">
        <v>24</v>
      </c>
      <c r="C8" s="19" t="s">
        <v>25</v>
      </c>
      <c r="D8" s="19"/>
      <c r="E8" s="19"/>
      <c r="F8" s="19" t="str">
        <f t="shared" si="0"/>
        <v>不合格</v>
      </c>
      <c r="G8" s="19"/>
      <c r="H8" s="29" t="s">
        <v>14</v>
      </c>
      <c r="I8" s="29"/>
    </row>
    <row r="9" spans="1:12" ht="21.95" customHeight="1" x14ac:dyDescent="0.4">
      <c r="A9" s="19">
        <v>6</v>
      </c>
      <c r="B9" s="19" t="s">
        <v>26</v>
      </c>
      <c r="C9" s="19" t="s">
        <v>27</v>
      </c>
      <c r="D9" s="19">
        <v>83</v>
      </c>
      <c r="E9" s="19" t="s">
        <v>28</v>
      </c>
      <c r="F9" s="19" t="str">
        <f t="shared" si="0"/>
        <v>合格</v>
      </c>
      <c r="G9" s="19"/>
      <c r="H9" s="29" t="s">
        <v>14</v>
      </c>
      <c r="I9" s="29"/>
    </row>
    <row r="10" spans="1:12" ht="21.95" customHeight="1" x14ac:dyDescent="0.4">
      <c r="A10" s="19">
        <v>7</v>
      </c>
      <c r="B10" s="19" t="s">
        <v>11</v>
      </c>
      <c r="C10" s="19" t="s">
        <v>29</v>
      </c>
      <c r="D10" s="19">
        <v>81</v>
      </c>
      <c r="E10" s="19" t="s">
        <v>13</v>
      </c>
      <c r="F10" s="19" t="str">
        <f t="shared" si="0"/>
        <v>合格</v>
      </c>
      <c r="G10" s="19"/>
      <c r="H10" s="29" t="s">
        <v>30</v>
      </c>
      <c r="I10" s="29"/>
    </row>
    <row r="11" spans="1:12" ht="21.95" customHeight="1" x14ac:dyDescent="0.4">
      <c r="A11" s="19">
        <v>8</v>
      </c>
      <c r="B11" s="19" t="s">
        <v>31</v>
      </c>
      <c r="C11" s="19" t="s">
        <v>32</v>
      </c>
      <c r="D11" s="19">
        <v>70</v>
      </c>
      <c r="E11" s="19" t="s">
        <v>21</v>
      </c>
      <c r="F11" s="19" t="str">
        <f t="shared" si="0"/>
        <v>不合格</v>
      </c>
      <c r="G11" s="19"/>
      <c r="H11" s="29" t="s">
        <v>18</v>
      </c>
      <c r="I11" s="29"/>
    </row>
    <row r="12" spans="1:12" ht="21.95" customHeight="1" x14ac:dyDescent="0.4">
      <c r="A12" s="19">
        <v>9</v>
      </c>
      <c r="B12" s="19" t="s">
        <v>33</v>
      </c>
      <c r="C12" s="19" t="s">
        <v>34</v>
      </c>
      <c r="D12" s="19">
        <v>61</v>
      </c>
      <c r="E12" s="19" t="s">
        <v>13</v>
      </c>
      <c r="F12" s="19" t="str">
        <f t="shared" si="0"/>
        <v>不合格</v>
      </c>
      <c r="G12" s="19"/>
      <c r="H12" s="29" t="s">
        <v>18</v>
      </c>
      <c r="I12" s="29"/>
    </row>
    <row r="13" spans="1:12" ht="21.95" customHeight="1" x14ac:dyDescent="0.4">
      <c r="A13" s="19">
        <v>10</v>
      </c>
      <c r="B13" s="19" t="s">
        <v>35</v>
      </c>
      <c r="C13" s="19" t="s">
        <v>36</v>
      </c>
      <c r="D13" s="19"/>
      <c r="E13" s="19"/>
      <c r="F13" s="19" t="str">
        <f t="shared" si="0"/>
        <v>不合格</v>
      </c>
      <c r="G13" s="19"/>
      <c r="H13" s="29" t="s">
        <v>18</v>
      </c>
      <c r="I13" s="29"/>
    </row>
    <row r="14" spans="1:12" ht="21.95" customHeight="1" x14ac:dyDescent="0.4">
      <c r="A14" s="19">
        <v>11</v>
      </c>
      <c r="B14" s="19" t="s">
        <v>37</v>
      </c>
      <c r="C14" s="19" t="s">
        <v>38</v>
      </c>
      <c r="D14" s="19">
        <v>92</v>
      </c>
      <c r="E14" s="19" t="s">
        <v>28</v>
      </c>
      <c r="F14" s="19" t="str">
        <f t="shared" si="0"/>
        <v>合格</v>
      </c>
      <c r="G14" s="19"/>
      <c r="H14" s="29" t="s">
        <v>18</v>
      </c>
      <c r="I14" s="29"/>
    </row>
    <row r="15" spans="1:12" ht="21.95" customHeight="1" x14ac:dyDescent="0.4">
      <c r="A15" s="19">
        <v>12</v>
      </c>
      <c r="B15" s="19" t="s">
        <v>11</v>
      </c>
      <c r="C15" s="19" t="s">
        <v>39</v>
      </c>
      <c r="D15" s="19">
        <v>79</v>
      </c>
      <c r="E15" s="19" t="s">
        <v>13</v>
      </c>
      <c r="F15" s="19" t="str">
        <f t="shared" si="0"/>
        <v>合格</v>
      </c>
      <c r="G15" s="19"/>
      <c r="H15" s="29" t="s">
        <v>30</v>
      </c>
      <c r="I15" s="29"/>
    </row>
    <row r="16" spans="1:12" ht="21.95" customHeight="1" x14ac:dyDescent="0.4">
      <c r="A16" s="19">
        <v>13</v>
      </c>
      <c r="B16" s="19" t="s">
        <v>15</v>
      </c>
      <c r="C16" s="19" t="s">
        <v>40</v>
      </c>
      <c r="D16" s="19">
        <v>99</v>
      </c>
      <c r="E16" s="19" t="s">
        <v>21</v>
      </c>
      <c r="F16" s="19" t="str">
        <f t="shared" si="0"/>
        <v>合格</v>
      </c>
      <c r="G16" s="19"/>
      <c r="H16" s="29" t="s">
        <v>14</v>
      </c>
      <c r="I16" s="29"/>
    </row>
    <row r="17" spans="1:9" ht="21.95" customHeight="1" x14ac:dyDescent="0.4">
      <c r="A17" s="19">
        <v>14</v>
      </c>
      <c r="B17" s="19" t="s">
        <v>41</v>
      </c>
      <c r="C17" s="19" t="s">
        <v>42</v>
      </c>
      <c r="D17" s="19">
        <v>91</v>
      </c>
      <c r="E17" s="19" t="s">
        <v>17</v>
      </c>
      <c r="F17" s="19" t="str">
        <f t="shared" si="0"/>
        <v>合格</v>
      </c>
      <c r="G17" s="19"/>
      <c r="H17" s="29" t="s">
        <v>18</v>
      </c>
      <c r="I17" s="29"/>
    </row>
    <row r="18" spans="1:9" ht="21.95" customHeight="1" x14ac:dyDescent="0.4">
      <c r="A18" s="19">
        <v>15</v>
      </c>
      <c r="B18" s="19" t="s">
        <v>43</v>
      </c>
      <c r="C18" s="19" t="s">
        <v>44</v>
      </c>
      <c r="D18" s="19"/>
      <c r="E18" s="19"/>
      <c r="F18" s="19" t="str">
        <f t="shared" si="0"/>
        <v>不合格</v>
      </c>
      <c r="G18" s="19"/>
      <c r="H18" s="29" t="s">
        <v>18</v>
      </c>
      <c r="I18" s="29"/>
    </row>
    <row r="19" spans="1:9" ht="21.95" customHeight="1" x14ac:dyDescent="0.4">
      <c r="A19" s="19">
        <v>16</v>
      </c>
      <c r="B19" s="19" t="s">
        <v>45</v>
      </c>
      <c r="C19" s="19" t="s">
        <v>46</v>
      </c>
      <c r="D19" s="19">
        <v>99</v>
      </c>
      <c r="E19" s="19" t="s">
        <v>21</v>
      </c>
      <c r="F19" s="19" t="str">
        <f t="shared" si="0"/>
        <v>合格</v>
      </c>
      <c r="G19" s="19"/>
      <c r="H19" s="29" t="s">
        <v>18</v>
      </c>
      <c r="I19" s="29"/>
    </row>
    <row r="20" spans="1:9" ht="21.95" customHeight="1" x14ac:dyDescent="0.4">
      <c r="A20" s="19">
        <v>17</v>
      </c>
      <c r="B20" s="19" t="s">
        <v>47</v>
      </c>
      <c r="C20" s="19" t="s">
        <v>48</v>
      </c>
      <c r="D20" s="19">
        <v>75</v>
      </c>
      <c r="E20" s="19" t="s">
        <v>17</v>
      </c>
      <c r="F20" s="19" t="str">
        <f t="shared" si="0"/>
        <v>合格</v>
      </c>
      <c r="G20" s="19"/>
      <c r="H20" s="29" t="s">
        <v>30</v>
      </c>
      <c r="I20" s="29"/>
    </row>
    <row r="21" spans="1:9" ht="21.95" customHeight="1" x14ac:dyDescent="0.4">
      <c r="A21" s="19">
        <v>18</v>
      </c>
      <c r="B21" s="19" t="s">
        <v>19</v>
      </c>
      <c r="C21" s="19" t="s">
        <v>49</v>
      </c>
      <c r="D21" s="19">
        <v>61</v>
      </c>
      <c r="E21" s="19" t="s">
        <v>21</v>
      </c>
      <c r="F21" s="19" t="str">
        <f t="shared" si="0"/>
        <v>不合格</v>
      </c>
      <c r="G21" s="19"/>
      <c r="H21" s="29" t="s">
        <v>18</v>
      </c>
      <c r="I21" s="29"/>
    </row>
    <row r="22" spans="1:9" ht="21.95" customHeight="1" x14ac:dyDescent="0.4">
      <c r="A22" s="19">
        <v>19</v>
      </c>
      <c r="B22" s="19" t="s">
        <v>50</v>
      </c>
      <c r="C22" s="19" t="s">
        <v>51</v>
      </c>
      <c r="D22" s="19">
        <v>68</v>
      </c>
      <c r="E22" s="19" t="s">
        <v>13</v>
      </c>
      <c r="F22" s="19" t="str">
        <f t="shared" si="0"/>
        <v>不合格</v>
      </c>
      <c r="G22" s="19"/>
      <c r="H22" s="29" t="s">
        <v>18</v>
      </c>
      <c r="I22" s="29"/>
    </row>
    <row r="23" spans="1:9" ht="21.95" customHeight="1" x14ac:dyDescent="0.4">
      <c r="A23" s="19">
        <v>20</v>
      </c>
      <c r="B23" s="19" t="s">
        <v>52</v>
      </c>
      <c r="C23" s="19" t="s">
        <v>53</v>
      </c>
      <c r="D23" s="19"/>
      <c r="E23" s="19"/>
      <c r="F23" s="19" t="str">
        <f t="shared" si="0"/>
        <v>不合格</v>
      </c>
      <c r="G23" s="19"/>
      <c r="H23" s="29" t="s">
        <v>14</v>
      </c>
      <c r="I23" s="29"/>
    </row>
    <row r="24" spans="1:9" ht="21.95" customHeight="1" x14ac:dyDescent="0.4">
      <c r="A24" s="19">
        <v>21</v>
      </c>
      <c r="B24" s="19" t="s">
        <v>54</v>
      </c>
      <c r="C24" s="19" t="s">
        <v>55</v>
      </c>
      <c r="D24" s="19">
        <v>60</v>
      </c>
      <c r="E24" s="19" t="s">
        <v>13</v>
      </c>
      <c r="F24" s="19" t="str">
        <f t="shared" si="0"/>
        <v>不合格</v>
      </c>
      <c r="G24" s="19"/>
      <c r="H24" s="29" t="s">
        <v>18</v>
      </c>
      <c r="I24" s="29"/>
    </row>
    <row r="25" spans="1:9" ht="21.95" customHeight="1" x14ac:dyDescent="0.4">
      <c r="A25" s="19">
        <v>22</v>
      </c>
      <c r="B25" s="19" t="s">
        <v>56</v>
      </c>
      <c r="C25" s="19" t="s">
        <v>57</v>
      </c>
      <c r="D25" s="19">
        <v>72</v>
      </c>
      <c r="E25" s="19" t="s">
        <v>21</v>
      </c>
      <c r="F25" s="19" t="str">
        <f t="shared" si="0"/>
        <v>不合格</v>
      </c>
      <c r="G25" s="19"/>
      <c r="H25" s="29" t="s">
        <v>18</v>
      </c>
      <c r="I25" s="29"/>
    </row>
    <row r="26" spans="1:9" ht="21.95" customHeight="1" x14ac:dyDescent="0.4">
      <c r="A26" s="19">
        <v>23</v>
      </c>
      <c r="B26" s="19" t="s">
        <v>24</v>
      </c>
      <c r="C26" s="19" t="s">
        <v>58</v>
      </c>
      <c r="D26" s="19">
        <v>86</v>
      </c>
      <c r="E26" s="19"/>
      <c r="F26" s="19" t="str">
        <f t="shared" si="0"/>
        <v>合格</v>
      </c>
      <c r="G26" s="19"/>
      <c r="H26" s="29" t="s">
        <v>14</v>
      </c>
      <c r="I26" s="29"/>
    </row>
    <row r="27" spans="1:9" ht="21.95" customHeight="1" x14ac:dyDescent="0.4">
      <c r="A27" s="19">
        <v>24</v>
      </c>
      <c r="B27" s="19" t="s">
        <v>19</v>
      </c>
      <c r="C27" s="19" t="s">
        <v>59</v>
      </c>
      <c r="D27" s="19">
        <v>61</v>
      </c>
      <c r="E27" s="19" t="s">
        <v>13</v>
      </c>
      <c r="F27" s="19" t="str">
        <f t="shared" si="0"/>
        <v>不合格</v>
      </c>
      <c r="G27" s="19"/>
      <c r="H27" s="29" t="s">
        <v>18</v>
      </c>
      <c r="I27" s="29"/>
    </row>
  </sheetData>
  <mergeCells count="1">
    <mergeCell ref="A2:I2"/>
  </mergeCells>
  <phoneticPr fontId="1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5"/>
  <sheetViews>
    <sheetView workbookViewId="0">
      <selection activeCell="B5" sqref="B5:B13"/>
    </sheetView>
  </sheetViews>
  <sheetFormatPr defaultRowHeight="18.75" x14ac:dyDescent="0.4"/>
  <cols>
    <col min="1" max="1" width="6" style="6" customWidth="1"/>
    <col min="2" max="2" width="22" customWidth="1"/>
    <col min="3" max="3" width="11.375" style="6" customWidth="1"/>
    <col min="4" max="4" width="11.875" style="6" customWidth="1"/>
    <col min="5" max="5" width="16.375" style="6" customWidth="1"/>
    <col min="6" max="6" width="10.375" style="6" customWidth="1"/>
    <col min="7" max="7" width="17.5" style="6" bestFit="1" customWidth="1"/>
    <col min="8" max="8" width="13.875" style="6" customWidth="1"/>
    <col min="9" max="9" width="15.625" style="6" customWidth="1"/>
    <col min="10" max="16384" width="9" style="6"/>
  </cols>
  <sheetData>
    <row r="2" spans="2:9" ht="27.95" customHeight="1" x14ac:dyDescent="0.4">
      <c r="B2" s="16" t="s">
        <v>90</v>
      </c>
    </row>
    <row r="3" spans="2:9" ht="19.5" thickBot="1" x14ac:dyDescent="0.25">
      <c r="B3" s="6"/>
      <c r="E3" s="11"/>
    </row>
    <row r="4" spans="2:9" ht="21.95" customHeight="1" thickBot="1" x14ac:dyDescent="0.45">
      <c r="B4" s="7" t="s">
        <v>132</v>
      </c>
      <c r="E4" s="7" t="s">
        <v>91</v>
      </c>
      <c r="F4" s="7" t="s">
        <v>92</v>
      </c>
      <c r="G4" s="7" t="s">
        <v>89</v>
      </c>
      <c r="H4" s="7" t="s">
        <v>93</v>
      </c>
      <c r="I4" s="7" t="s">
        <v>94</v>
      </c>
    </row>
    <row r="5" spans="2:9" ht="21.95" customHeight="1" x14ac:dyDescent="0.4">
      <c r="B5" s="30"/>
      <c r="E5" s="8" t="s">
        <v>95</v>
      </c>
      <c r="F5" s="8" t="s">
        <v>96</v>
      </c>
      <c r="G5" s="8" t="s">
        <v>60</v>
      </c>
      <c r="H5" s="12">
        <v>46117</v>
      </c>
      <c r="I5" s="8" t="s">
        <v>97</v>
      </c>
    </row>
    <row r="6" spans="2:9" ht="21.95" customHeight="1" x14ac:dyDescent="0.4">
      <c r="B6" s="30"/>
      <c r="E6" s="6" t="s">
        <v>98</v>
      </c>
      <c r="F6" s="6" t="s">
        <v>99</v>
      </c>
      <c r="G6" s="6" t="s">
        <v>61</v>
      </c>
      <c r="H6" s="13">
        <v>46118</v>
      </c>
      <c r="I6" s="6" t="s">
        <v>100</v>
      </c>
    </row>
    <row r="7" spans="2:9" ht="21.95" customHeight="1" x14ac:dyDescent="0.4">
      <c r="B7" s="30"/>
      <c r="E7" s="9" t="s">
        <v>101</v>
      </c>
      <c r="F7" s="9" t="s">
        <v>102</v>
      </c>
      <c r="G7" s="9" t="s">
        <v>62</v>
      </c>
      <c r="H7" s="14">
        <v>46119</v>
      </c>
      <c r="I7" s="9" t="s">
        <v>97</v>
      </c>
    </row>
    <row r="8" spans="2:9" ht="21.95" customHeight="1" x14ac:dyDescent="0.4">
      <c r="B8" s="30"/>
      <c r="E8" s="6" t="s">
        <v>103</v>
      </c>
      <c r="F8" s="6" t="s">
        <v>104</v>
      </c>
      <c r="G8" s="6" t="s">
        <v>63</v>
      </c>
      <c r="H8" s="13">
        <v>46120</v>
      </c>
      <c r="I8" s="6" t="s">
        <v>100</v>
      </c>
    </row>
    <row r="9" spans="2:9" ht="21.95" customHeight="1" x14ac:dyDescent="0.4">
      <c r="B9" s="30"/>
      <c r="E9" s="9" t="s">
        <v>105</v>
      </c>
      <c r="F9" s="9" t="s">
        <v>96</v>
      </c>
      <c r="G9" s="9" t="s">
        <v>64</v>
      </c>
      <c r="H9" s="14">
        <v>46121</v>
      </c>
      <c r="I9" s="9" t="s">
        <v>97</v>
      </c>
    </row>
    <row r="10" spans="2:9" ht="21.95" customHeight="1" x14ac:dyDescent="0.4">
      <c r="B10" s="30"/>
      <c r="E10" s="6" t="s">
        <v>106</v>
      </c>
      <c r="F10" s="6" t="s">
        <v>99</v>
      </c>
      <c r="G10" s="6" t="s">
        <v>65</v>
      </c>
      <c r="H10" s="13">
        <v>46122</v>
      </c>
      <c r="I10" s="6" t="s">
        <v>107</v>
      </c>
    </row>
    <row r="11" spans="2:9" ht="21.95" customHeight="1" x14ac:dyDescent="0.4">
      <c r="B11" s="30"/>
      <c r="E11" s="9" t="s">
        <v>108</v>
      </c>
      <c r="F11" s="9" t="s">
        <v>109</v>
      </c>
      <c r="G11" s="9" t="s">
        <v>66</v>
      </c>
      <c r="H11" s="14">
        <v>46123</v>
      </c>
      <c r="I11" s="9" t="s">
        <v>97</v>
      </c>
    </row>
    <row r="12" spans="2:9" ht="21.95" customHeight="1" x14ac:dyDescent="0.4">
      <c r="B12" s="30"/>
      <c r="E12" s="6" t="s">
        <v>110</v>
      </c>
      <c r="F12" s="6" t="s">
        <v>102</v>
      </c>
      <c r="G12" s="6" t="s">
        <v>65</v>
      </c>
      <c r="H12" s="13">
        <v>46124</v>
      </c>
      <c r="I12" s="6" t="s">
        <v>100</v>
      </c>
    </row>
    <row r="13" spans="2:9" ht="21.95" customHeight="1" x14ac:dyDescent="0.4">
      <c r="B13" s="6"/>
      <c r="E13" s="9" t="s">
        <v>111</v>
      </c>
      <c r="F13" s="9" t="s">
        <v>109</v>
      </c>
      <c r="G13" s="9" t="s">
        <v>64</v>
      </c>
      <c r="H13" s="14">
        <v>46125</v>
      </c>
      <c r="I13" s="9" t="s">
        <v>97</v>
      </c>
    </row>
    <row r="14" spans="2:9" ht="21.95" customHeight="1" x14ac:dyDescent="0.4">
      <c r="B14" s="6"/>
      <c r="E14" s="6" t="s">
        <v>112</v>
      </c>
      <c r="F14" s="6" t="s">
        <v>113</v>
      </c>
      <c r="G14" s="6" t="s">
        <v>60</v>
      </c>
      <c r="H14" s="13">
        <v>46126</v>
      </c>
      <c r="I14" s="6" t="s">
        <v>100</v>
      </c>
    </row>
    <row r="15" spans="2:9" ht="21.95" customHeight="1" x14ac:dyDescent="0.4">
      <c r="B15" s="6"/>
      <c r="E15" s="9" t="s">
        <v>114</v>
      </c>
      <c r="F15" s="9" t="s">
        <v>96</v>
      </c>
      <c r="G15" s="9" t="s">
        <v>64</v>
      </c>
      <c r="H15" s="14">
        <v>46127</v>
      </c>
      <c r="I15" s="9" t="s">
        <v>97</v>
      </c>
    </row>
    <row r="16" spans="2:9" ht="21.95" customHeight="1" x14ac:dyDescent="0.4">
      <c r="B16" s="6"/>
      <c r="E16" s="6" t="s">
        <v>115</v>
      </c>
      <c r="F16" s="6" t="s">
        <v>109</v>
      </c>
      <c r="G16" s="6" t="s">
        <v>64</v>
      </c>
      <c r="H16" s="13">
        <v>46128</v>
      </c>
      <c r="I16" s="6" t="s">
        <v>97</v>
      </c>
    </row>
    <row r="17" spans="2:9" ht="21.95" customHeight="1" x14ac:dyDescent="0.4">
      <c r="B17" s="6"/>
      <c r="E17" s="9" t="s">
        <v>116</v>
      </c>
      <c r="F17" s="9" t="s">
        <v>99</v>
      </c>
      <c r="G17" s="9" t="s">
        <v>62</v>
      </c>
      <c r="H17" s="14">
        <v>46129</v>
      </c>
      <c r="I17" s="9" t="s">
        <v>100</v>
      </c>
    </row>
    <row r="18" spans="2:9" ht="21.95" customHeight="1" x14ac:dyDescent="0.4">
      <c r="B18" s="6"/>
      <c r="E18" s="6" t="s">
        <v>117</v>
      </c>
      <c r="F18" s="6" t="s">
        <v>113</v>
      </c>
      <c r="G18" s="6" t="s">
        <v>67</v>
      </c>
      <c r="H18" s="13">
        <v>46130</v>
      </c>
      <c r="I18" s="6" t="s">
        <v>97</v>
      </c>
    </row>
    <row r="19" spans="2:9" ht="21.95" customHeight="1" x14ac:dyDescent="0.4">
      <c r="B19" s="6"/>
      <c r="E19" s="9" t="s">
        <v>118</v>
      </c>
      <c r="F19" s="9" t="s">
        <v>109</v>
      </c>
      <c r="G19" s="9" t="s">
        <v>66</v>
      </c>
      <c r="H19" s="14">
        <v>46131</v>
      </c>
      <c r="I19" s="9" t="s">
        <v>100</v>
      </c>
    </row>
    <row r="20" spans="2:9" ht="21.95" customHeight="1" x14ac:dyDescent="0.4">
      <c r="B20" s="6"/>
      <c r="E20" s="6" t="s">
        <v>119</v>
      </c>
      <c r="F20" s="6" t="s">
        <v>104</v>
      </c>
      <c r="G20" s="6" t="s">
        <v>63</v>
      </c>
      <c r="H20" s="13">
        <v>46132</v>
      </c>
      <c r="I20" s="6" t="s">
        <v>97</v>
      </c>
    </row>
    <row r="21" spans="2:9" ht="21.95" customHeight="1" x14ac:dyDescent="0.4">
      <c r="B21" s="6"/>
      <c r="E21" s="9" t="s">
        <v>120</v>
      </c>
      <c r="F21" s="9" t="s">
        <v>102</v>
      </c>
      <c r="G21" s="9" t="s">
        <v>63</v>
      </c>
      <c r="H21" s="14">
        <v>46133</v>
      </c>
      <c r="I21" s="9" t="s">
        <v>100</v>
      </c>
    </row>
    <row r="22" spans="2:9" ht="21.95" customHeight="1" x14ac:dyDescent="0.4">
      <c r="B22" s="6"/>
      <c r="E22" s="6" t="s">
        <v>121</v>
      </c>
      <c r="F22" s="6" t="s">
        <v>99</v>
      </c>
      <c r="G22" s="6" t="s">
        <v>61</v>
      </c>
      <c r="H22" s="13">
        <v>46134</v>
      </c>
      <c r="I22" s="6" t="s">
        <v>97</v>
      </c>
    </row>
    <row r="23" spans="2:9" ht="21.95" customHeight="1" x14ac:dyDescent="0.4">
      <c r="B23" s="6"/>
      <c r="E23" s="9" t="s">
        <v>122</v>
      </c>
      <c r="F23" s="9" t="s">
        <v>104</v>
      </c>
      <c r="G23" s="9" t="s">
        <v>63</v>
      </c>
      <c r="H23" s="14">
        <v>46135</v>
      </c>
      <c r="I23" s="9" t="s">
        <v>97</v>
      </c>
    </row>
    <row r="24" spans="2:9" ht="21.95" customHeight="1" x14ac:dyDescent="0.4">
      <c r="B24" s="6"/>
      <c r="E24" s="6" t="s">
        <v>123</v>
      </c>
      <c r="F24" s="6" t="s">
        <v>113</v>
      </c>
      <c r="G24" s="6" t="s">
        <v>66</v>
      </c>
      <c r="H24" s="13">
        <v>46136</v>
      </c>
      <c r="I24" s="6" t="s">
        <v>100</v>
      </c>
    </row>
    <row r="25" spans="2:9" ht="21.95" customHeight="1" x14ac:dyDescent="0.4">
      <c r="B25" s="6"/>
      <c r="E25" s="9" t="s">
        <v>124</v>
      </c>
      <c r="F25" s="9" t="s">
        <v>102</v>
      </c>
      <c r="G25" s="9" t="s">
        <v>61</v>
      </c>
      <c r="H25" s="14">
        <v>46137</v>
      </c>
      <c r="I25" s="9" t="s">
        <v>107</v>
      </c>
    </row>
    <row r="26" spans="2:9" ht="21.95" customHeight="1" x14ac:dyDescent="0.4">
      <c r="B26" s="6"/>
      <c r="E26" s="6" t="s">
        <v>125</v>
      </c>
      <c r="F26" s="6" t="s">
        <v>99</v>
      </c>
      <c r="G26" s="6" t="s">
        <v>61</v>
      </c>
      <c r="H26" s="13">
        <v>46138</v>
      </c>
      <c r="I26" s="6" t="s">
        <v>97</v>
      </c>
    </row>
    <row r="27" spans="2:9" ht="21.95" customHeight="1" x14ac:dyDescent="0.4">
      <c r="B27" s="6"/>
      <c r="E27" s="9" t="s">
        <v>126</v>
      </c>
      <c r="F27" s="9" t="s">
        <v>109</v>
      </c>
      <c r="G27" s="9" t="s">
        <v>60</v>
      </c>
      <c r="H27" s="14">
        <v>46139</v>
      </c>
      <c r="I27" s="9" t="s">
        <v>100</v>
      </c>
    </row>
    <row r="28" spans="2:9" ht="21.95" customHeight="1" x14ac:dyDescent="0.4">
      <c r="B28" s="6"/>
      <c r="E28" s="6" t="s">
        <v>127</v>
      </c>
      <c r="F28" s="6" t="s">
        <v>113</v>
      </c>
      <c r="G28" s="6" t="s">
        <v>67</v>
      </c>
      <c r="H28" s="13">
        <v>46140</v>
      </c>
      <c r="I28" s="6" t="s">
        <v>97</v>
      </c>
    </row>
    <row r="29" spans="2:9" ht="21.95" customHeight="1" x14ac:dyDescent="0.4">
      <c r="B29" s="6"/>
      <c r="E29" s="9" t="s">
        <v>128</v>
      </c>
      <c r="F29" s="9" t="s">
        <v>104</v>
      </c>
      <c r="G29" s="9" t="s">
        <v>65</v>
      </c>
      <c r="H29" s="14">
        <v>46141</v>
      </c>
      <c r="I29" s="9" t="s">
        <v>100</v>
      </c>
    </row>
    <row r="30" spans="2:9" ht="21.95" customHeight="1" x14ac:dyDescent="0.4">
      <c r="B30" s="6"/>
      <c r="E30" s="6" t="s">
        <v>129</v>
      </c>
      <c r="F30" s="6" t="s">
        <v>96</v>
      </c>
      <c r="G30" s="6" t="s">
        <v>60</v>
      </c>
      <c r="H30" s="13">
        <v>46142</v>
      </c>
      <c r="I30" s="6" t="s">
        <v>97</v>
      </c>
    </row>
    <row r="31" spans="2:9" ht="21.95" customHeight="1" x14ac:dyDescent="0.4">
      <c r="B31" s="6"/>
      <c r="E31" s="9" t="s">
        <v>130</v>
      </c>
      <c r="F31" s="9" t="s">
        <v>109</v>
      </c>
      <c r="G31" s="9" t="s">
        <v>67</v>
      </c>
      <c r="H31" s="14">
        <v>46143</v>
      </c>
      <c r="I31" s="9" t="s">
        <v>100</v>
      </c>
    </row>
    <row r="32" spans="2:9" ht="19.5" thickBot="1" x14ac:dyDescent="0.45">
      <c r="B32" s="6"/>
      <c r="E32" s="10" t="s">
        <v>131</v>
      </c>
      <c r="F32" s="10" t="s">
        <v>113</v>
      </c>
      <c r="G32" s="10" t="s">
        <v>67</v>
      </c>
      <c r="H32" s="15">
        <v>46144</v>
      </c>
      <c r="I32" s="10" t="s">
        <v>97</v>
      </c>
    </row>
    <row r="33" spans="2:2" x14ac:dyDescent="0.4">
      <c r="B33" s="6"/>
    </row>
    <row r="34" spans="2:2" x14ac:dyDescent="0.4">
      <c r="B34" s="6"/>
    </row>
    <row r="35" spans="2:2" x14ac:dyDescent="0.4">
      <c r="B35" s="6"/>
    </row>
  </sheetData>
  <phoneticPr fontId="1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クラス数一覧</vt:lpstr>
      <vt:lpstr>模擬試験結果</vt:lpstr>
      <vt:lpstr>講座申込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2026-06-25T05:21:21Z</dcterms:created>
  <dcterms:modified xsi:type="dcterms:W3CDTF">2026-07-08T01:22:52Z</dcterms:modified>
</cp:coreProperties>
</file>