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8\"/>
    </mc:Choice>
  </mc:AlternateContent>
  <xr:revisionPtr revIDLastSave="0" documentId="13_ncr:1_{6D65C34C-E598-4AFF-A82F-F50EBAB34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旅行フェア売上" sheetId="2" r:id="rId1"/>
    <sheet name="ツアー名簿" sheetId="3" r:id="rId2"/>
    <sheet name="ツアー申込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4" i="3"/>
  <c r="K7" i="2"/>
</calcChain>
</file>

<file path=xl/sharedStrings.xml><?xml version="1.0" encoding="utf-8"?>
<sst xmlns="http://schemas.openxmlformats.org/spreadsheetml/2006/main" count="259" uniqueCount="146">
  <si>
    <t>No.</t>
  </si>
  <si>
    <t>旅行フェア予約一覧</t>
  </si>
  <si>
    <t>最高予約数</t>
  </si>
  <si>
    <t>フェア名</t>
  </si>
  <si>
    <t>春の特別フェア</t>
  </si>
  <si>
    <t>ゴールデンウィークフェア</t>
  </si>
  <si>
    <t>母の日企画</t>
  </si>
  <si>
    <t>海外フェア</t>
  </si>
  <si>
    <t>リゾートフェア</t>
  </si>
  <si>
    <t>夏休み特別企画</t>
  </si>
  <si>
    <t>お盆フェア</t>
  </si>
  <si>
    <t>秋の紅葉ツアー</t>
  </si>
  <si>
    <t>シルバーウィーク</t>
  </si>
  <si>
    <t>ハロウィン企画</t>
  </si>
  <si>
    <t>氏名</t>
  </si>
  <si>
    <t>高橋 美咲</t>
  </si>
  <si>
    <t>月曜日</t>
    <rPh sb="0" eb="2">
      <t>ゲツヨウ</t>
    </rPh>
    <rPh sb="2" eb="3">
      <t>ビ</t>
    </rPh>
    <phoneticPr fontId="1"/>
  </si>
  <si>
    <t>火曜日</t>
  </si>
  <si>
    <t>水曜日</t>
  </si>
  <si>
    <t>木曜日</t>
  </si>
  <si>
    <t>金曜日</t>
  </si>
  <si>
    <t>土曜日</t>
  </si>
  <si>
    <t>平均</t>
    <rPh sb="0" eb="2">
      <t>ヘイキン</t>
    </rPh>
    <phoneticPr fontId="1"/>
  </si>
  <si>
    <t>No</t>
  </si>
  <si>
    <t>地域コード</t>
  </si>
  <si>
    <t>ツアー名</t>
  </si>
  <si>
    <t>出発日</t>
  </si>
  <si>
    <t>参加区分</t>
  </si>
  <si>
    <t>参加費</t>
  </si>
  <si>
    <t>山田 太郎</t>
  </si>
  <si>
    <t>HKD001</t>
  </si>
  <si>
    <t>北海道ツアー</t>
  </si>
  <si>
    <t>一般</t>
  </si>
  <si>
    <t>佐藤 花子</t>
  </si>
  <si>
    <t>OKN002</t>
  </si>
  <si>
    <t>沖縄ツアー</t>
  </si>
  <si>
    <t>学生</t>
  </si>
  <si>
    <t>鈴木 一郎</t>
  </si>
  <si>
    <t>KYO003</t>
  </si>
  <si>
    <t>京都ツアー</t>
  </si>
  <si>
    <t>TKO004</t>
  </si>
  <si>
    <t>東京観光ツアー</t>
  </si>
  <si>
    <t>伊藤 健</t>
  </si>
  <si>
    <t>NGS005</t>
  </si>
  <si>
    <t>長崎ツアー</t>
  </si>
  <si>
    <t>渡辺 愛</t>
  </si>
  <si>
    <t>HKD006</t>
  </si>
  <si>
    <t>中村 誠</t>
  </si>
  <si>
    <t>OKN007</t>
  </si>
  <si>
    <t>小林 優</t>
  </si>
  <si>
    <t>KYO008</t>
  </si>
  <si>
    <t>加藤 翼</t>
  </si>
  <si>
    <t>TKO009</t>
  </si>
  <si>
    <t>吉田 彩</t>
  </si>
  <si>
    <t>NGS010</t>
  </si>
  <si>
    <t>山本 大輔</t>
  </si>
  <si>
    <t>HKD011</t>
  </si>
  <si>
    <t>松本 真由</t>
  </si>
  <si>
    <t>OKN012</t>
  </si>
  <si>
    <t>井上 恒一</t>
  </si>
  <si>
    <t>KYO013</t>
  </si>
  <si>
    <t>木村 美紀</t>
  </si>
  <si>
    <t>TKO014</t>
  </si>
  <si>
    <t>林 恒一</t>
  </si>
  <si>
    <t>NGS015</t>
  </si>
  <si>
    <t>清水 結衣</t>
  </si>
  <si>
    <t>HKD016</t>
  </si>
  <si>
    <t>山口 直樹</t>
  </si>
  <si>
    <t>OKN017</t>
  </si>
  <si>
    <t>森 彩香</t>
  </si>
  <si>
    <t>KYO018</t>
  </si>
  <si>
    <t>池田 翔</t>
  </si>
  <si>
    <t>TKO019</t>
  </si>
  <si>
    <t>橋本 奈々</t>
  </si>
  <si>
    <t>NGS020</t>
  </si>
  <si>
    <t>阿部 恒一</t>
  </si>
  <si>
    <t>HKD021</t>
  </si>
  <si>
    <t>石川 美咲</t>
  </si>
  <si>
    <t>OKN022</t>
  </si>
  <si>
    <t>前田 健太</t>
  </si>
  <si>
    <t>KYO023</t>
  </si>
  <si>
    <t>岡田 真理</t>
  </si>
  <si>
    <t>TKO024</t>
  </si>
  <si>
    <t>藤田 誠</t>
  </si>
  <si>
    <t>NGS025</t>
  </si>
  <si>
    <t>ツアー名簿一覧</t>
    <rPh sb="3" eb="5">
      <t>メイボ</t>
    </rPh>
    <rPh sb="5" eb="7">
      <t>イチラン</t>
    </rPh>
    <phoneticPr fontId="1"/>
  </si>
  <si>
    <t>出発地</t>
  </si>
  <si>
    <t>行先</t>
  </si>
  <si>
    <t>添乗員</t>
  </si>
  <si>
    <t>募集人数</t>
  </si>
  <si>
    <t>北海道グルメツアー</t>
  </si>
  <si>
    <t>名古屋</t>
  </si>
  <si>
    <t>北海道</t>
  </si>
  <si>
    <t>田中</t>
  </si>
  <si>
    <t>沖縄満喫ツアー</t>
  </si>
  <si>
    <t>沖縄</t>
  </si>
  <si>
    <t>鈴木</t>
  </si>
  <si>
    <t>京都歴史散策</t>
  </si>
  <si>
    <t>京都</t>
  </si>
  <si>
    <t>佐藤</t>
  </si>
  <si>
    <t>大阪</t>
  </si>
  <si>
    <t>山本</t>
  </si>
  <si>
    <t>東京</t>
  </si>
  <si>
    <t>加藤</t>
  </si>
  <si>
    <t>九州温泉巡り</t>
  </si>
  <si>
    <t>大分</t>
  </si>
  <si>
    <t>伊藤</t>
  </si>
  <si>
    <t>小林</t>
  </si>
  <si>
    <t>福岡</t>
  </si>
  <si>
    <t>高橋</t>
  </si>
  <si>
    <t>松本</t>
  </si>
  <si>
    <t>渡辺</t>
  </si>
  <si>
    <t>箱根温泉の旅</t>
  </si>
  <si>
    <t>神奈川</t>
  </si>
  <si>
    <t>中村</t>
  </si>
  <si>
    <t>富士山絶景ツアー</t>
  </si>
  <si>
    <t>山梨</t>
  </si>
  <si>
    <t>吉田</t>
  </si>
  <si>
    <t>仙台</t>
  </si>
  <si>
    <t>清水</t>
  </si>
  <si>
    <t>山口</t>
  </si>
  <si>
    <t>伊勢神宮参拝ツアー</t>
  </si>
  <si>
    <t>三重</t>
  </si>
  <si>
    <t>森</t>
  </si>
  <si>
    <t>井上</t>
  </si>
  <si>
    <t>林</t>
  </si>
  <si>
    <t>木村</t>
  </si>
  <si>
    <t>阿部</t>
  </si>
  <si>
    <t>石川</t>
  </si>
  <si>
    <t>橋本</t>
  </si>
  <si>
    <t>岡田</t>
  </si>
  <si>
    <t>前田</t>
  </si>
  <si>
    <t>藤田</t>
  </si>
  <si>
    <t>小川</t>
  </si>
  <si>
    <t>近藤</t>
  </si>
  <si>
    <t>ツアー企画一覧</t>
    <phoneticPr fontId="1"/>
  </si>
  <si>
    <t>ツアー名</t>
    <rPh sb="3" eb="4">
      <t>メイ</t>
    </rPh>
    <phoneticPr fontId="1"/>
  </si>
  <si>
    <t>申込人数</t>
    <rPh sb="0" eb="2">
      <t>モウシコミ</t>
    </rPh>
    <rPh sb="2" eb="4">
      <t>ニンズウ</t>
    </rPh>
    <phoneticPr fontId="1"/>
  </si>
  <si>
    <t>グループ</t>
    <phoneticPr fontId="1"/>
  </si>
  <si>
    <t>地域略称</t>
    <phoneticPr fontId="1"/>
  </si>
  <si>
    <t>参加費合計</t>
    <rPh sb="0" eb="2">
      <t>サンカ</t>
    </rPh>
    <rPh sb="3" eb="5">
      <t>ゴウケイ</t>
    </rPh>
    <phoneticPr fontId="1"/>
  </si>
  <si>
    <t>参加区分なし</t>
    <rPh sb="0" eb="2">
      <t>サンカ</t>
    </rPh>
    <rPh sb="2" eb="4">
      <t>クブン</t>
    </rPh>
    <phoneticPr fontId="1"/>
  </si>
  <si>
    <t>済</t>
  </si>
  <si>
    <t>入金</t>
    <rPh sb="0" eb="2">
      <t>ニュウキン</t>
    </rPh>
    <phoneticPr fontId="1"/>
  </si>
  <si>
    <t>日曜日</t>
  </si>
  <si>
    <t>入金者数</t>
    <rPh sb="0" eb="2">
      <t>ニュウキン</t>
    </rPh>
    <rPh sb="2" eb="3">
      <t>シャ</t>
    </rPh>
    <rPh sb="3" eb="4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</si>
</sst>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ゴシック"/>
      <family val="2"/>
      <scheme val="minor"/>
    </font>
    <font>
      <sz val="6"/>
      <name val="ＭＳ ゴシック"/>
      <family val="3"/>
      <charset val="128"/>
      <scheme val="minor"/>
    </font>
    <font>
      <b/>
      <sz val="14"/>
      <color theme="1"/>
      <name val="ＭＳ ゴシック"/>
      <family val="3"/>
      <charset val="128"/>
      <scheme val="minor"/>
    </font>
    <font>
      <b/>
      <sz val="11"/>
      <color theme="0"/>
      <name val="ＭＳ ゴシック"/>
      <family val="2"/>
      <scheme val="minor"/>
    </font>
    <font>
      <sz val="11"/>
      <color theme="1"/>
      <name val="ＭＳ ゴシック"/>
      <family val="2"/>
      <scheme val="minor"/>
    </font>
    <font>
      <b/>
      <sz val="11"/>
      <color theme="1"/>
      <name val="ＭＳ ゴシック"/>
      <family val="3"/>
      <charset val="128"/>
      <scheme val="minor"/>
    </font>
    <font>
      <b/>
      <sz val="12"/>
      <color theme="1"/>
      <name val="ＭＳ ゴシック"/>
      <family val="3"/>
      <charset val="128"/>
      <scheme val="minor"/>
    </font>
    <font>
      <sz val="16"/>
      <color theme="1"/>
      <name val="HGP創英角ｺﾞｼｯｸUB"/>
      <family val="3"/>
      <charset val="128"/>
    </font>
    <font>
      <sz val="18"/>
      <color theme="1"/>
      <name val="HGP創英角ｺﾞｼｯｸUB"/>
      <family val="3"/>
      <charset val="128"/>
    </font>
    <font>
      <b/>
      <sz val="12"/>
      <color theme="0"/>
      <name val="ＭＳ ゴシック"/>
      <family val="3"/>
      <charset val="128"/>
      <scheme val="minor"/>
    </font>
    <font>
      <sz val="14"/>
      <color theme="4"/>
      <name val="HGP創英角ｺﾞｼｯｸUB"/>
      <family val="3"/>
      <charset val="128"/>
    </font>
    <font>
      <b/>
      <sz val="18"/>
      <color theme="0"/>
      <name val="HGP創英角ｺﾞｼｯｸUB"/>
      <family val="3"/>
      <charset val="128"/>
    </font>
    <font>
      <sz val="12"/>
      <color theme="1"/>
      <name val="ＭＳ ゴシック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double">
        <color theme="8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56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38" fontId="0" fillId="0" borderId="0" xfId="1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0" fillId="6" borderId="13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0" borderId="12" xfId="0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38" fontId="0" fillId="0" borderId="0" xfId="1" applyFont="1" applyAlignment="1">
      <alignment horizontal="center" vertical="center"/>
    </xf>
    <xf numFmtId="0" fontId="11" fillId="4" borderId="15" xfId="0" applyFont="1" applyFill="1" applyBorder="1" applyAlignment="1">
      <alignment vertical="center"/>
    </xf>
    <xf numFmtId="0" fontId="11" fillId="4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/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/>
        <horizontal/>
      </border>
    </dxf>
    <dxf>
      <border outline="0">
        <top style="thin">
          <color theme="8" tint="0.39994506668294322"/>
        </top>
      </border>
    </dxf>
    <dxf>
      <border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ゴシック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8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ＭＳ ゴシック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613360-F918-4E70-9424-7707776D0292}" name="テーブル4" displayName="テーブル4" ref="B6:J16" totalsRowShown="0" headerRowDxfId="13" dataDxfId="11" headerRowBorderDxfId="12" tableBorderDxfId="10" totalsRowBorderDxfId="9">
  <autoFilter ref="B6:J16" xr:uid="{29613360-F918-4E70-9424-7707776D0292}"/>
  <tableColumns count="9">
    <tableColumn id="1" xr3:uid="{88FE34F1-9D5C-4C19-B839-9C7A0FF03B76}" name="No." dataDxfId="8"/>
    <tableColumn id="2" xr3:uid="{B3197DDE-6925-48EF-8F9F-D38579A4C1B0}" name="フェア名" dataDxfId="7"/>
    <tableColumn id="3" xr3:uid="{1ED1E847-F6AA-4AF1-929C-0AA4539B37C4}" name="月曜日" dataDxfId="6"/>
    <tableColumn id="4" xr3:uid="{4D13B2AE-4F5E-4A25-B11F-E72D50B50FBE}" name="火曜日" dataDxfId="5"/>
    <tableColumn id="5" xr3:uid="{81B40912-D2B1-46C0-8ACA-D668406F3491}" name="水曜日" dataDxfId="4"/>
    <tableColumn id="6" xr3:uid="{409EA7DE-24CE-4793-8308-5DEA211DDD98}" name="木曜日" dataDxfId="3"/>
    <tableColumn id="7" xr3:uid="{2599675D-CE56-4D2A-8791-60F17746A1A0}" name="金曜日" dataDxfId="2"/>
    <tableColumn id="8" xr3:uid="{C45E08B4-72D9-4EB4-81C5-7D77414122FD}" name="土曜日" dataDxfId="1"/>
    <tableColumn id="9" xr3:uid="{C59BBBB9-C6F7-45EE-B1BA-07AE9EE0708C}" name="日曜日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飛行機雲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飛行機雲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6"/>
  <sheetViews>
    <sheetView tabSelected="1" workbookViewId="0"/>
  </sheetViews>
  <sheetFormatPr defaultRowHeight="20.25" customHeight="1" x14ac:dyDescent="0.15"/>
  <cols>
    <col min="1" max="1" width="3" style="1" customWidth="1"/>
    <col min="2" max="2" width="6.125" style="1" customWidth="1"/>
    <col min="3" max="3" width="27.625" style="1" customWidth="1"/>
    <col min="4" max="10" width="12.375" style="1" customWidth="1"/>
    <col min="11" max="11" width="14.75" style="1" customWidth="1"/>
    <col min="12" max="16384" width="9" style="1"/>
  </cols>
  <sheetData>
    <row r="1" spans="2:11" ht="38.25" customHeight="1" thickBot="1" x14ac:dyDescent="0.2">
      <c r="B1" s="17" t="s">
        <v>1</v>
      </c>
      <c r="C1" s="15"/>
      <c r="D1" s="16"/>
      <c r="E1" s="16"/>
      <c r="F1" s="16"/>
      <c r="G1" s="16"/>
      <c r="H1" s="16"/>
      <c r="I1" s="16"/>
      <c r="J1" s="16"/>
      <c r="K1" s="16"/>
    </row>
    <row r="2" spans="2:11" ht="20.25" customHeight="1" thickTop="1" x14ac:dyDescent="0.15"/>
    <row r="3" spans="2:11" ht="21" customHeight="1" x14ac:dyDescent="0.15">
      <c r="K3" s="14" t="s">
        <v>2</v>
      </c>
    </row>
    <row r="4" spans="2:11" ht="27" customHeight="1" x14ac:dyDescent="0.15">
      <c r="K4" s="13"/>
    </row>
    <row r="6" spans="2:11" ht="20.25" customHeight="1" x14ac:dyDescent="0.15">
      <c r="B6" s="8" t="s">
        <v>0</v>
      </c>
      <c r="C6" s="9" t="s">
        <v>3</v>
      </c>
      <c r="D6" s="9" t="s">
        <v>16</v>
      </c>
      <c r="E6" s="9" t="s">
        <v>17</v>
      </c>
      <c r="F6" s="9" t="s">
        <v>18</v>
      </c>
      <c r="G6" s="9" t="s">
        <v>19</v>
      </c>
      <c r="H6" s="9" t="s">
        <v>20</v>
      </c>
      <c r="I6" s="9" t="s">
        <v>21</v>
      </c>
      <c r="J6" s="9" t="s">
        <v>144</v>
      </c>
      <c r="K6" s="3" t="s">
        <v>22</v>
      </c>
    </row>
    <row r="7" spans="2:11" ht="20.25" customHeight="1" x14ac:dyDescent="0.15">
      <c r="B7" s="6">
        <v>1</v>
      </c>
      <c r="C7" s="4" t="s">
        <v>4</v>
      </c>
      <c r="D7" s="4">
        <v>40</v>
      </c>
      <c r="E7" s="4">
        <v>109</v>
      </c>
      <c r="F7" s="4">
        <v>50</v>
      </c>
      <c r="G7" s="4">
        <v>57</v>
      </c>
      <c r="H7" s="4">
        <v>59</v>
      </c>
      <c r="I7" s="4">
        <v>64</v>
      </c>
      <c r="J7" s="7">
        <v>66</v>
      </c>
      <c r="K7" s="5">
        <f>AVERAGE(D7:J7)</f>
        <v>63.571428571428569</v>
      </c>
    </row>
    <row r="8" spans="2:11" ht="20.25" customHeight="1" x14ac:dyDescent="0.15">
      <c r="B8" s="6">
        <v>2</v>
      </c>
      <c r="C8" s="4" t="s">
        <v>5</v>
      </c>
      <c r="D8" s="4">
        <v>44</v>
      </c>
      <c r="E8" s="4">
        <v>128</v>
      </c>
      <c r="F8" s="4">
        <v>59</v>
      </c>
      <c r="G8" s="4">
        <v>130</v>
      </c>
      <c r="H8" s="4">
        <v>67</v>
      </c>
      <c r="I8" s="4">
        <v>54</v>
      </c>
      <c r="J8" s="7">
        <v>128</v>
      </c>
      <c r="K8" s="5"/>
    </row>
    <row r="9" spans="2:11" ht="20.25" customHeight="1" x14ac:dyDescent="0.15">
      <c r="B9" s="6">
        <v>3</v>
      </c>
      <c r="C9" s="4" t="s">
        <v>6</v>
      </c>
      <c r="D9" s="4">
        <v>46</v>
      </c>
      <c r="E9" s="4">
        <v>92</v>
      </c>
      <c r="F9" s="4">
        <v>82</v>
      </c>
      <c r="G9" s="4">
        <v>109</v>
      </c>
      <c r="H9" s="4">
        <v>99</v>
      </c>
      <c r="I9" s="4">
        <v>76</v>
      </c>
      <c r="J9" s="7">
        <v>92</v>
      </c>
      <c r="K9" s="5"/>
    </row>
    <row r="10" spans="2:11" ht="20.25" customHeight="1" x14ac:dyDescent="0.15">
      <c r="B10" s="6">
        <v>4</v>
      </c>
      <c r="C10" s="4" t="s">
        <v>7</v>
      </c>
      <c r="D10" s="4">
        <v>23</v>
      </c>
      <c r="E10" s="4">
        <v>66</v>
      </c>
      <c r="F10" s="4">
        <v>146</v>
      </c>
      <c r="G10" s="4">
        <v>93</v>
      </c>
      <c r="H10" s="4">
        <v>89</v>
      </c>
      <c r="I10" s="4">
        <v>99</v>
      </c>
      <c r="J10" s="7">
        <v>58</v>
      </c>
      <c r="K10" s="5"/>
    </row>
    <row r="11" spans="2:11" ht="20.25" customHeight="1" x14ac:dyDescent="0.15">
      <c r="B11" s="6">
        <v>5</v>
      </c>
      <c r="C11" s="4" t="s">
        <v>8</v>
      </c>
      <c r="D11" s="4">
        <v>57</v>
      </c>
      <c r="E11" s="4">
        <v>129</v>
      </c>
      <c r="F11" s="4">
        <v>42</v>
      </c>
      <c r="G11" s="4">
        <v>149</v>
      </c>
      <c r="H11" s="4">
        <v>137</v>
      </c>
      <c r="I11" s="4">
        <v>86</v>
      </c>
      <c r="J11" s="7">
        <v>48</v>
      </c>
      <c r="K11" s="5"/>
    </row>
    <row r="12" spans="2:11" ht="20.25" customHeight="1" x14ac:dyDescent="0.15">
      <c r="B12" s="6">
        <v>6</v>
      </c>
      <c r="C12" s="4" t="s">
        <v>9</v>
      </c>
      <c r="D12" s="4">
        <v>44</v>
      </c>
      <c r="E12" s="4">
        <v>101</v>
      </c>
      <c r="F12" s="4">
        <v>40</v>
      </c>
      <c r="G12" s="4">
        <v>85</v>
      </c>
      <c r="H12" s="4">
        <v>78</v>
      </c>
      <c r="I12" s="4">
        <v>98</v>
      </c>
      <c r="J12" s="7">
        <v>101</v>
      </c>
      <c r="K12" s="5"/>
    </row>
    <row r="13" spans="2:11" ht="20.25" customHeight="1" x14ac:dyDescent="0.15">
      <c r="B13" s="6">
        <v>7</v>
      </c>
      <c r="C13" s="4" t="s">
        <v>10</v>
      </c>
      <c r="D13" s="4">
        <v>44</v>
      </c>
      <c r="E13" s="4">
        <v>149</v>
      </c>
      <c r="F13" s="4">
        <v>146</v>
      </c>
      <c r="G13" s="4">
        <v>93</v>
      </c>
      <c r="H13" s="4">
        <v>108</v>
      </c>
      <c r="I13" s="4">
        <v>97</v>
      </c>
      <c r="J13" s="7">
        <v>67</v>
      </c>
      <c r="K13" s="5"/>
    </row>
    <row r="14" spans="2:11" ht="20.25" customHeight="1" x14ac:dyDescent="0.15">
      <c r="B14" s="6">
        <v>8</v>
      </c>
      <c r="C14" s="4" t="s">
        <v>11</v>
      </c>
      <c r="D14" s="4">
        <v>67</v>
      </c>
      <c r="E14" s="4">
        <v>109</v>
      </c>
      <c r="F14" s="4">
        <v>142</v>
      </c>
      <c r="G14" s="4">
        <v>117</v>
      </c>
      <c r="H14" s="4">
        <v>68</v>
      </c>
      <c r="I14" s="4">
        <v>81</v>
      </c>
      <c r="J14" s="7">
        <v>109</v>
      </c>
      <c r="K14" s="5"/>
    </row>
    <row r="15" spans="2:11" ht="20.25" customHeight="1" x14ac:dyDescent="0.15">
      <c r="B15" s="6">
        <v>9</v>
      </c>
      <c r="C15" s="4" t="s">
        <v>12</v>
      </c>
      <c r="D15" s="4">
        <v>34</v>
      </c>
      <c r="E15" s="4">
        <v>74</v>
      </c>
      <c r="F15" s="4">
        <v>95</v>
      </c>
      <c r="G15" s="4">
        <v>102</v>
      </c>
      <c r="H15" s="4">
        <v>43</v>
      </c>
      <c r="I15" s="4">
        <v>74</v>
      </c>
      <c r="J15" s="7">
        <v>74</v>
      </c>
      <c r="K15" s="5"/>
    </row>
    <row r="16" spans="2:11" ht="20.25" customHeight="1" x14ac:dyDescent="0.15">
      <c r="B16" s="10">
        <v>10</v>
      </c>
      <c r="C16" s="11" t="s">
        <v>13</v>
      </c>
      <c r="D16" s="11">
        <v>41</v>
      </c>
      <c r="E16" s="11">
        <v>125</v>
      </c>
      <c r="F16" s="11">
        <v>126</v>
      </c>
      <c r="G16" s="11">
        <v>142</v>
      </c>
      <c r="H16" s="11">
        <v>91</v>
      </c>
      <c r="I16" s="11">
        <v>96</v>
      </c>
      <c r="J16" s="12">
        <v>125</v>
      </c>
      <c r="K16" s="5"/>
    </row>
  </sheetData>
  <phoneticPr fontId="1"/>
  <pageMargins left="0.75" right="0.75" top="1" bottom="1" header="0.5" footer="0.5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O7" sqref="O7"/>
    </sheetView>
  </sheetViews>
  <sheetFormatPr defaultRowHeight="20.25" customHeight="1" x14ac:dyDescent="0.15"/>
  <cols>
    <col min="1" max="1" width="9.75" style="1" customWidth="1"/>
    <col min="2" max="2" width="13.125" style="1" customWidth="1"/>
    <col min="3" max="3" width="12.5" style="1" customWidth="1"/>
    <col min="4" max="4" width="15.875" style="2" customWidth="1"/>
    <col min="5" max="6" width="13.875" style="1" customWidth="1"/>
    <col min="7" max="7" width="14" style="1" customWidth="1"/>
    <col min="8" max="8" width="10.25" style="1" bestFit="1" customWidth="1"/>
    <col min="9" max="9" width="16.75" style="1" customWidth="1"/>
    <col min="10" max="10" width="13" style="1" customWidth="1"/>
    <col min="11" max="11" width="10.25" style="2" bestFit="1" customWidth="1"/>
    <col min="12" max="12" width="17.375" style="2" customWidth="1"/>
    <col min="13" max="14" width="9" style="1"/>
    <col min="15" max="15" width="15.75" style="1" customWidth="1"/>
    <col min="16" max="16384" width="9" style="1"/>
  </cols>
  <sheetData>
    <row r="1" spans="1:15" ht="29.25" customHeight="1" x14ac:dyDescent="0.15">
      <c r="A1" s="31" t="s">
        <v>85</v>
      </c>
      <c r="B1" s="31"/>
      <c r="C1" s="31"/>
      <c r="D1" s="32"/>
      <c r="E1" s="31"/>
      <c r="F1" s="31"/>
      <c r="G1" s="31"/>
      <c r="H1" s="31"/>
      <c r="I1" s="31"/>
      <c r="J1" s="31"/>
      <c r="K1" s="32"/>
      <c r="L1" s="32"/>
      <c r="M1"/>
      <c r="N1"/>
      <c r="O1"/>
    </row>
    <row r="3" spans="1:15" s="18" customFormat="1" ht="20.25" customHeight="1" x14ac:dyDescent="0.15">
      <c r="A3" s="23" t="s">
        <v>23</v>
      </c>
      <c r="B3" s="23" t="s">
        <v>14</v>
      </c>
      <c r="C3" s="23" t="s">
        <v>24</v>
      </c>
      <c r="D3" s="23" t="s">
        <v>25</v>
      </c>
      <c r="E3" s="23" t="s">
        <v>26</v>
      </c>
      <c r="F3" s="23" t="s">
        <v>27</v>
      </c>
      <c r="G3" s="23" t="s">
        <v>28</v>
      </c>
      <c r="H3" s="23" t="s">
        <v>137</v>
      </c>
      <c r="I3" s="23" t="s">
        <v>140</v>
      </c>
      <c r="J3" s="23" t="s">
        <v>143</v>
      </c>
      <c r="K3" s="23" t="s">
        <v>138</v>
      </c>
      <c r="L3" s="23" t="s">
        <v>139</v>
      </c>
      <c r="O3" s="29" t="s">
        <v>145</v>
      </c>
    </row>
    <row r="4" spans="1:15" ht="27" customHeight="1" x14ac:dyDescent="0.15">
      <c r="A4" s="1">
        <v>1</v>
      </c>
      <c r="B4" s="1" t="s">
        <v>29</v>
      </c>
      <c r="C4" s="1" t="s">
        <v>30</v>
      </c>
      <c r="D4" s="1" t="s">
        <v>31</v>
      </c>
      <c r="E4" s="20">
        <v>46218</v>
      </c>
      <c r="F4" s="2" t="s">
        <v>32</v>
      </c>
      <c r="G4" s="22">
        <v>39800</v>
      </c>
      <c r="H4">
        <v>7</v>
      </c>
      <c r="I4" s="22">
        <f>G4*H4</f>
        <v>278600</v>
      </c>
      <c r="J4" s="30" t="s">
        <v>142</v>
      </c>
      <c r="O4" s="33"/>
    </row>
    <row r="5" spans="1:15" ht="27" customHeight="1" x14ac:dyDescent="0.15">
      <c r="A5" s="1">
        <v>2</v>
      </c>
      <c r="B5" s="1" t="s">
        <v>33</v>
      </c>
      <c r="C5" s="1" t="s">
        <v>34</v>
      </c>
      <c r="D5" s="1" t="s">
        <v>35</v>
      </c>
      <c r="E5" s="20">
        <v>46219</v>
      </c>
      <c r="F5" s="2" t="s">
        <v>36</v>
      </c>
      <c r="G5" s="22">
        <v>29800</v>
      </c>
      <c r="H5">
        <v>3</v>
      </c>
      <c r="I5" s="22">
        <f t="shared" ref="I5:I28" si="0">G5*H5</f>
        <v>89400</v>
      </c>
      <c r="J5" s="30"/>
    </row>
    <row r="6" spans="1:15" ht="27" customHeight="1" x14ac:dyDescent="0.15">
      <c r="A6" s="1">
        <v>3</v>
      </c>
      <c r="B6" s="1" t="s">
        <v>37</v>
      </c>
      <c r="C6" s="1" t="s">
        <v>38</v>
      </c>
      <c r="D6" s="1" t="s">
        <v>39</v>
      </c>
      <c r="E6" s="20">
        <v>46220</v>
      </c>
      <c r="F6" s="2" t="s">
        <v>32</v>
      </c>
      <c r="G6" s="22">
        <v>24800</v>
      </c>
      <c r="H6">
        <v>8</v>
      </c>
      <c r="I6" s="22">
        <f t="shared" si="0"/>
        <v>198400</v>
      </c>
      <c r="J6" s="30" t="s">
        <v>142</v>
      </c>
      <c r="O6" s="29" t="s">
        <v>141</v>
      </c>
    </row>
    <row r="7" spans="1:15" ht="27" customHeight="1" x14ac:dyDescent="0.15">
      <c r="A7" s="1">
        <v>4</v>
      </c>
      <c r="B7" s="1" t="s">
        <v>15</v>
      </c>
      <c r="C7" s="1" t="s">
        <v>40</v>
      </c>
      <c r="D7" s="1" t="s">
        <v>41</v>
      </c>
      <c r="E7" s="20">
        <v>46221</v>
      </c>
      <c r="F7" s="2" t="s">
        <v>32</v>
      </c>
      <c r="G7" s="22">
        <v>19800</v>
      </c>
      <c r="H7">
        <v>5</v>
      </c>
      <c r="I7" s="22">
        <f t="shared" si="0"/>
        <v>99000</v>
      </c>
      <c r="J7" s="30" t="s">
        <v>142</v>
      </c>
      <c r="O7" s="33"/>
    </row>
    <row r="8" spans="1:15" ht="27" customHeight="1" x14ac:dyDescent="0.15">
      <c r="A8" s="1">
        <v>5</v>
      </c>
      <c r="B8" s="1" t="s">
        <v>42</v>
      </c>
      <c r="C8" s="1" t="s">
        <v>43</v>
      </c>
      <c r="D8" s="1" t="s">
        <v>44</v>
      </c>
      <c r="E8" s="20">
        <v>46222</v>
      </c>
      <c r="F8" s="2"/>
      <c r="G8" s="22">
        <v>35800</v>
      </c>
      <c r="H8">
        <v>2</v>
      </c>
      <c r="I8" s="22">
        <f t="shared" si="0"/>
        <v>71600</v>
      </c>
      <c r="J8" s="30"/>
    </row>
    <row r="9" spans="1:15" ht="27" customHeight="1" x14ac:dyDescent="0.15">
      <c r="A9" s="1">
        <v>6</v>
      </c>
      <c r="B9" s="1" t="s">
        <v>45</v>
      </c>
      <c r="C9" s="1" t="s">
        <v>46</v>
      </c>
      <c r="D9" s="1" t="s">
        <v>31</v>
      </c>
      <c r="E9" s="20">
        <v>46223</v>
      </c>
      <c r="F9" s="2" t="s">
        <v>36</v>
      </c>
      <c r="G9" s="22">
        <v>39800</v>
      </c>
      <c r="H9">
        <v>9</v>
      </c>
      <c r="I9" s="22">
        <f t="shared" si="0"/>
        <v>358200</v>
      </c>
      <c r="J9" s="30" t="s">
        <v>142</v>
      </c>
    </row>
    <row r="10" spans="1:15" ht="27" customHeight="1" x14ac:dyDescent="0.15">
      <c r="A10" s="1">
        <v>7</v>
      </c>
      <c r="B10" s="1" t="s">
        <v>47</v>
      </c>
      <c r="C10" s="1" t="s">
        <v>48</v>
      </c>
      <c r="D10" s="1" t="s">
        <v>35</v>
      </c>
      <c r="E10" s="20">
        <v>46224</v>
      </c>
      <c r="F10" s="2" t="s">
        <v>32</v>
      </c>
      <c r="G10" s="22">
        <v>29800</v>
      </c>
      <c r="H10">
        <v>4</v>
      </c>
      <c r="I10" s="22">
        <f t="shared" si="0"/>
        <v>119200</v>
      </c>
      <c r="J10" s="30"/>
    </row>
    <row r="11" spans="1:15" ht="27" customHeight="1" x14ac:dyDescent="0.15">
      <c r="A11" s="1">
        <v>8</v>
      </c>
      <c r="B11" s="1" t="s">
        <v>49</v>
      </c>
      <c r="C11" s="1" t="s">
        <v>50</v>
      </c>
      <c r="D11" s="1" t="s">
        <v>39</v>
      </c>
      <c r="E11" s="20">
        <v>46225</v>
      </c>
      <c r="F11" s="2" t="s">
        <v>32</v>
      </c>
      <c r="G11" s="22">
        <v>24800</v>
      </c>
      <c r="H11">
        <v>6</v>
      </c>
      <c r="I11" s="22">
        <f t="shared" si="0"/>
        <v>148800</v>
      </c>
      <c r="J11" s="30" t="s">
        <v>142</v>
      </c>
    </row>
    <row r="12" spans="1:15" ht="27" customHeight="1" x14ac:dyDescent="0.15">
      <c r="A12" s="1">
        <v>9</v>
      </c>
      <c r="B12" s="1" t="s">
        <v>51</v>
      </c>
      <c r="C12" s="1" t="s">
        <v>52</v>
      </c>
      <c r="D12" s="1" t="s">
        <v>41</v>
      </c>
      <c r="E12" s="20">
        <v>46226</v>
      </c>
      <c r="F12" s="2" t="s">
        <v>36</v>
      </c>
      <c r="G12" s="22">
        <v>19800</v>
      </c>
      <c r="H12">
        <v>1</v>
      </c>
      <c r="I12" s="22">
        <f t="shared" si="0"/>
        <v>19800</v>
      </c>
      <c r="J12" s="30" t="s">
        <v>142</v>
      </c>
    </row>
    <row r="13" spans="1:15" ht="27" customHeight="1" x14ac:dyDescent="0.15">
      <c r="A13" s="1">
        <v>10</v>
      </c>
      <c r="B13" s="1" t="s">
        <v>53</v>
      </c>
      <c r="C13" s="1" t="s">
        <v>54</v>
      </c>
      <c r="D13" s="1" t="s">
        <v>44</v>
      </c>
      <c r="E13" s="20">
        <v>46227</v>
      </c>
      <c r="F13" s="2" t="s">
        <v>32</v>
      </c>
      <c r="G13" s="22">
        <v>35800</v>
      </c>
      <c r="H13">
        <v>8</v>
      </c>
      <c r="I13" s="22">
        <f t="shared" si="0"/>
        <v>286400</v>
      </c>
      <c r="J13" s="30"/>
    </row>
    <row r="14" spans="1:15" ht="27" customHeight="1" x14ac:dyDescent="0.15">
      <c r="A14" s="1">
        <v>11</v>
      </c>
      <c r="B14" s="1" t="s">
        <v>55</v>
      </c>
      <c r="C14" s="1" t="s">
        <v>56</v>
      </c>
      <c r="D14" s="1" t="s">
        <v>31</v>
      </c>
      <c r="E14" s="20">
        <v>46228</v>
      </c>
      <c r="F14" s="2" t="s">
        <v>32</v>
      </c>
      <c r="G14" s="22">
        <v>39800</v>
      </c>
      <c r="H14">
        <v>5</v>
      </c>
      <c r="I14" s="22">
        <f t="shared" si="0"/>
        <v>199000</v>
      </c>
      <c r="J14" s="30"/>
    </row>
    <row r="15" spans="1:15" ht="27" customHeight="1" x14ac:dyDescent="0.15">
      <c r="A15" s="1">
        <v>12</v>
      </c>
      <c r="B15" s="1" t="s">
        <v>57</v>
      </c>
      <c r="C15" s="1" t="s">
        <v>58</v>
      </c>
      <c r="D15" s="1" t="s">
        <v>35</v>
      </c>
      <c r="E15" s="20">
        <v>46229</v>
      </c>
      <c r="F15" s="2"/>
      <c r="G15" s="22">
        <v>29800</v>
      </c>
      <c r="H15">
        <v>7</v>
      </c>
      <c r="I15" s="22">
        <f t="shared" si="0"/>
        <v>208600</v>
      </c>
      <c r="J15" s="30" t="s">
        <v>142</v>
      </c>
    </row>
    <row r="16" spans="1:15" ht="27" customHeight="1" x14ac:dyDescent="0.15">
      <c r="A16" s="1">
        <v>13</v>
      </c>
      <c r="B16" s="1" t="s">
        <v>59</v>
      </c>
      <c r="C16" s="1" t="s">
        <v>60</v>
      </c>
      <c r="D16" s="1" t="s">
        <v>39</v>
      </c>
      <c r="E16" s="20">
        <v>46230</v>
      </c>
      <c r="F16" s="2" t="s">
        <v>32</v>
      </c>
      <c r="G16" s="22">
        <v>24800</v>
      </c>
      <c r="H16">
        <v>3</v>
      </c>
      <c r="I16" s="22">
        <f t="shared" si="0"/>
        <v>74400</v>
      </c>
      <c r="J16" s="30"/>
    </row>
    <row r="17" spans="1:10" ht="27" customHeight="1" x14ac:dyDescent="0.15">
      <c r="A17" s="1">
        <v>14</v>
      </c>
      <c r="B17" s="1" t="s">
        <v>61</v>
      </c>
      <c r="C17" s="1" t="s">
        <v>62</v>
      </c>
      <c r="D17" s="1" t="s">
        <v>41</v>
      </c>
      <c r="E17" s="20">
        <v>46231</v>
      </c>
      <c r="F17" s="2" t="s">
        <v>36</v>
      </c>
      <c r="G17" s="22">
        <v>19800</v>
      </c>
      <c r="H17">
        <v>9</v>
      </c>
      <c r="I17" s="22">
        <f t="shared" si="0"/>
        <v>178200</v>
      </c>
      <c r="J17" s="30" t="s">
        <v>142</v>
      </c>
    </row>
    <row r="18" spans="1:10" ht="27" customHeight="1" x14ac:dyDescent="0.15">
      <c r="A18" s="1">
        <v>15</v>
      </c>
      <c r="B18" s="1" t="s">
        <v>63</v>
      </c>
      <c r="C18" s="1" t="s">
        <v>64</v>
      </c>
      <c r="D18" s="1" t="s">
        <v>44</v>
      </c>
      <c r="E18" s="20">
        <v>46232</v>
      </c>
      <c r="F18" s="2" t="s">
        <v>32</v>
      </c>
      <c r="G18" s="22">
        <v>35800</v>
      </c>
      <c r="H18">
        <v>2</v>
      </c>
      <c r="I18" s="22">
        <f t="shared" si="0"/>
        <v>71600</v>
      </c>
      <c r="J18" s="30"/>
    </row>
    <row r="19" spans="1:10" ht="27" customHeight="1" x14ac:dyDescent="0.15">
      <c r="A19" s="1">
        <v>16</v>
      </c>
      <c r="B19" s="1" t="s">
        <v>65</v>
      </c>
      <c r="C19" s="1" t="s">
        <v>66</v>
      </c>
      <c r="D19" s="1" t="s">
        <v>31</v>
      </c>
      <c r="E19" s="20">
        <v>46233</v>
      </c>
      <c r="F19" s="2" t="s">
        <v>32</v>
      </c>
      <c r="G19" s="22">
        <v>39800</v>
      </c>
      <c r="H19">
        <v>6</v>
      </c>
      <c r="I19" s="22">
        <f t="shared" si="0"/>
        <v>238800</v>
      </c>
      <c r="J19" s="30" t="s">
        <v>142</v>
      </c>
    </row>
    <row r="20" spans="1:10" ht="27" customHeight="1" x14ac:dyDescent="0.15">
      <c r="A20" s="1">
        <v>17</v>
      </c>
      <c r="B20" s="1" t="s">
        <v>67</v>
      </c>
      <c r="C20" s="1" t="s">
        <v>68</v>
      </c>
      <c r="D20" s="1" t="s">
        <v>35</v>
      </c>
      <c r="E20" s="20">
        <v>46234</v>
      </c>
      <c r="F20" s="2" t="s">
        <v>36</v>
      </c>
      <c r="G20" s="22">
        <v>29800</v>
      </c>
      <c r="H20">
        <v>4</v>
      </c>
      <c r="I20" s="22">
        <f t="shared" si="0"/>
        <v>119200</v>
      </c>
      <c r="J20" s="30" t="s">
        <v>142</v>
      </c>
    </row>
    <row r="21" spans="1:10" ht="27" customHeight="1" x14ac:dyDescent="0.15">
      <c r="A21" s="1">
        <v>18</v>
      </c>
      <c r="B21" s="1" t="s">
        <v>69</v>
      </c>
      <c r="C21" s="1" t="s">
        <v>70</v>
      </c>
      <c r="D21" s="1" t="s">
        <v>39</v>
      </c>
      <c r="E21" s="20">
        <v>46235</v>
      </c>
      <c r="F21" s="2" t="s">
        <v>32</v>
      </c>
      <c r="G21" s="22">
        <v>24800</v>
      </c>
      <c r="H21">
        <v>8</v>
      </c>
      <c r="I21" s="22">
        <f t="shared" si="0"/>
        <v>198400</v>
      </c>
      <c r="J21" s="30"/>
    </row>
    <row r="22" spans="1:10" ht="27" customHeight="1" x14ac:dyDescent="0.15">
      <c r="A22" s="1">
        <v>19</v>
      </c>
      <c r="B22" s="1" t="s">
        <v>71</v>
      </c>
      <c r="C22" s="1" t="s">
        <v>72</v>
      </c>
      <c r="D22" s="1" t="s">
        <v>41</v>
      </c>
      <c r="E22" s="20">
        <v>46236</v>
      </c>
      <c r="F22" s="2" t="s">
        <v>32</v>
      </c>
      <c r="G22" s="22">
        <v>19800</v>
      </c>
      <c r="H22">
        <v>1</v>
      </c>
      <c r="I22" s="22">
        <f t="shared" si="0"/>
        <v>19800</v>
      </c>
      <c r="J22" s="30"/>
    </row>
    <row r="23" spans="1:10" ht="27" customHeight="1" x14ac:dyDescent="0.15">
      <c r="A23" s="1">
        <v>20</v>
      </c>
      <c r="B23" s="1" t="s">
        <v>73</v>
      </c>
      <c r="C23" s="1" t="s">
        <v>74</v>
      </c>
      <c r="D23" s="1" t="s">
        <v>44</v>
      </c>
      <c r="E23" s="20">
        <v>46237</v>
      </c>
      <c r="F23" s="2"/>
      <c r="G23" s="22">
        <v>35800</v>
      </c>
      <c r="H23">
        <v>5</v>
      </c>
      <c r="I23" s="22">
        <f t="shared" si="0"/>
        <v>179000</v>
      </c>
      <c r="J23" s="30" t="s">
        <v>142</v>
      </c>
    </row>
    <row r="24" spans="1:10" ht="27" customHeight="1" x14ac:dyDescent="0.15">
      <c r="A24" s="1">
        <v>21</v>
      </c>
      <c r="B24" s="1" t="s">
        <v>75</v>
      </c>
      <c r="C24" s="1" t="s">
        <v>76</v>
      </c>
      <c r="D24" s="1" t="s">
        <v>31</v>
      </c>
      <c r="E24" s="20">
        <v>46238</v>
      </c>
      <c r="F24" s="2" t="s">
        <v>36</v>
      </c>
      <c r="G24" s="22">
        <v>39800</v>
      </c>
      <c r="H24">
        <v>7</v>
      </c>
      <c r="I24" s="22">
        <f t="shared" si="0"/>
        <v>278600</v>
      </c>
      <c r="J24" s="30"/>
    </row>
    <row r="25" spans="1:10" ht="27" customHeight="1" x14ac:dyDescent="0.15">
      <c r="A25" s="1">
        <v>22</v>
      </c>
      <c r="B25" s="1" t="s">
        <v>77</v>
      </c>
      <c r="C25" s="1" t="s">
        <v>78</v>
      </c>
      <c r="D25" s="1" t="s">
        <v>35</v>
      </c>
      <c r="E25" s="20">
        <v>46239</v>
      </c>
      <c r="F25" s="2" t="s">
        <v>32</v>
      </c>
      <c r="G25" s="22">
        <v>29800</v>
      </c>
      <c r="H25">
        <v>3</v>
      </c>
      <c r="I25" s="22">
        <f t="shared" si="0"/>
        <v>89400</v>
      </c>
      <c r="J25" s="30" t="s">
        <v>142</v>
      </c>
    </row>
    <row r="26" spans="1:10" ht="27" customHeight="1" x14ac:dyDescent="0.15">
      <c r="A26" s="1">
        <v>23</v>
      </c>
      <c r="B26" s="1" t="s">
        <v>79</v>
      </c>
      <c r="C26" s="1" t="s">
        <v>80</v>
      </c>
      <c r="D26" s="1" t="s">
        <v>39</v>
      </c>
      <c r="E26" s="20">
        <v>46240</v>
      </c>
      <c r="F26" s="2" t="s">
        <v>32</v>
      </c>
      <c r="G26" s="22">
        <v>24800</v>
      </c>
      <c r="H26">
        <v>9</v>
      </c>
      <c r="I26" s="22">
        <f t="shared" si="0"/>
        <v>223200</v>
      </c>
      <c r="J26" s="30"/>
    </row>
    <row r="27" spans="1:10" ht="27" customHeight="1" x14ac:dyDescent="0.15">
      <c r="A27" s="1">
        <v>24</v>
      </c>
      <c r="B27" s="1" t="s">
        <v>81</v>
      </c>
      <c r="C27" s="1" t="s">
        <v>82</v>
      </c>
      <c r="D27" s="1" t="s">
        <v>41</v>
      </c>
      <c r="E27" s="20">
        <v>46241</v>
      </c>
      <c r="F27" s="2" t="s">
        <v>36</v>
      </c>
      <c r="G27" s="22">
        <v>19800</v>
      </c>
      <c r="H27">
        <v>2</v>
      </c>
      <c r="I27" s="22">
        <f t="shared" si="0"/>
        <v>39600</v>
      </c>
      <c r="J27" s="30" t="s">
        <v>142</v>
      </c>
    </row>
    <row r="28" spans="1:10" ht="27" customHeight="1" x14ac:dyDescent="0.15">
      <c r="A28" s="1">
        <v>25</v>
      </c>
      <c r="B28" s="1" t="s">
        <v>83</v>
      </c>
      <c r="C28" s="1" t="s">
        <v>84</v>
      </c>
      <c r="D28" s="1" t="s">
        <v>44</v>
      </c>
      <c r="E28" s="20">
        <v>46242</v>
      </c>
      <c r="F28" s="2" t="s">
        <v>32</v>
      </c>
      <c r="G28" s="22">
        <v>35800</v>
      </c>
      <c r="H28">
        <v>6</v>
      </c>
      <c r="I28" s="22">
        <f t="shared" si="0"/>
        <v>214800</v>
      </c>
      <c r="J28" s="30"/>
    </row>
    <row r="29" spans="1:10" ht="20.25" customHeight="1" x14ac:dyDescent="0.15">
      <c r="J29" s="2"/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8"/>
  <sheetViews>
    <sheetView workbookViewId="0">
      <selection activeCell="G19" sqref="G19"/>
    </sheetView>
  </sheetViews>
  <sheetFormatPr defaultRowHeight="20.25" customHeight="1" x14ac:dyDescent="0.15"/>
  <cols>
    <col min="1" max="1" width="3.125" style="1" customWidth="1"/>
    <col min="2" max="2" width="9.5" style="1" customWidth="1"/>
    <col min="3" max="3" width="23.5" style="1" customWidth="1"/>
    <col min="4" max="4" width="10.75" style="1" customWidth="1"/>
    <col min="5" max="5" width="9" style="1"/>
    <col min="6" max="6" width="9.125" style="1" customWidth="1"/>
    <col min="7" max="7" width="15.625" style="1" customWidth="1"/>
    <col min="8" max="10" width="9" style="1"/>
    <col min="11" max="11" width="20.625" style="1" customWidth="1"/>
    <col min="12" max="16384" width="9" style="1"/>
  </cols>
  <sheetData>
    <row r="1" spans="2:11" ht="33.75" customHeight="1" thickBot="1" x14ac:dyDescent="0.2">
      <c r="B1" s="19" t="s">
        <v>135</v>
      </c>
    </row>
    <row r="2" spans="2:11" s="21" customFormat="1" ht="20.25" customHeight="1" thickBot="1" x14ac:dyDescent="0.2">
      <c r="B2" s="24" t="s">
        <v>23</v>
      </c>
      <c r="C2" s="24" t="s">
        <v>25</v>
      </c>
      <c r="D2" s="24" t="s">
        <v>86</v>
      </c>
      <c r="E2" s="24" t="s">
        <v>87</v>
      </c>
      <c r="F2" s="24" t="s">
        <v>88</v>
      </c>
      <c r="G2" s="24" t="s">
        <v>89</v>
      </c>
      <c r="K2" s="28" t="s">
        <v>136</v>
      </c>
    </row>
    <row r="3" spans="2:11" ht="20.25" customHeight="1" x14ac:dyDescent="0.15">
      <c r="B3" s="25">
        <v>1</v>
      </c>
      <c r="C3" s="25" t="s">
        <v>90</v>
      </c>
      <c r="D3" s="25" t="s">
        <v>91</v>
      </c>
      <c r="E3" s="25" t="s">
        <v>92</v>
      </c>
      <c r="F3" s="25" t="s">
        <v>93</v>
      </c>
      <c r="G3" s="25">
        <v>20</v>
      </c>
    </row>
    <row r="4" spans="2:11" ht="20.25" customHeight="1" x14ac:dyDescent="0.15">
      <c r="B4" s="1">
        <v>2</v>
      </c>
      <c r="C4" s="1" t="s">
        <v>94</v>
      </c>
      <c r="D4" s="1" t="s">
        <v>91</v>
      </c>
      <c r="E4" s="1" t="s">
        <v>95</v>
      </c>
      <c r="F4" s="1" t="s">
        <v>96</v>
      </c>
      <c r="G4" s="1">
        <v>25</v>
      </c>
    </row>
    <row r="5" spans="2:11" ht="20.25" customHeight="1" x14ac:dyDescent="0.15">
      <c r="B5" s="26">
        <v>3</v>
      </c>
      <c r="C5" s="26" t="s">
        <v>97</v>
      </c>
      <c r="D5" s="26" t="s">
        <v>91</v>
      </c>
      <c r="E5" s="26" t="s">
        <v>98</v>
      </c>
      <c r="F5" s="26" t="s">
        <v>99</v>
      </c>
      <c r="G5" s="26">
        <v>30</v>
      </c>
    </row>
    <row r="6" spans="2:11" ht="20.25" customHeight="1" x14ac:dyDescent="0.15">
      <c r="B6" s="1">
        <v>4</v>
      </c>
      <c r="C6" s="1" t="s">
        <v>90</v>
      </c>
      <c r="D6" s="1" t="s">
        <v>100</v>
      </c>
      <c r="E6" s="1" t="s">
        <v>92</v>
      </c>
      <c r="F6" s="1" t="s">
        <v>101</v>
      </c>
      <c r="G6" s="1">
        <v>20</v>
      </c>
    </row>
    <row r="7" spans="2:11" ht="20.25" customHeight="1" x14ac:dyDescent="0.15">
      <c r="B7" s="26">
        <v>5</v>
      </c>
      <c r="C7" s="26" t="s">
        <v>94</v>
      </c>
      <c r="D7" s="26" t="s">
        <v>102</v>
      </c>
      <c r="E7" s="26" t="s">
        <v>95</v>
      </c>
      <c r="F7" s="26" t="s">
        <v>103</v>
      </c>
      <c r="G7" s="26">
        <v>25</v>
      </c>
    </row>
    <row r="8" spans="2:11" ht="20.25" customHeight="1" x14ac:dyDescent="0.15">
      <c r="B8" s="1">
        <v>6</v>
      </c>
      <c r="C8" s="1" t="s">
        <v>104</v>
      </c>
      <c r="D8" s="1" t="s">
        <v>91</v>
      </c>
      <c r="E8" s="1" t="s">
        <v>105</v>
      </c>
      <c r="F8" s="1" t="s">
        <v>106</v>
      </c>
      <c r="G8" s="1">
        <v>18</v>
      </c>
    </row>
    <row r="9" spans="2:11" ht="20.25" customHeight="1" x14ac:dyDescent="0.15">
      <c r="B9" s="26">
        <v>7</v>
      </c>
      <c r="C9" s="26" t="s">
        <v>97</v>
      </c>
      <c r="D9" s="26" t="s">
        <v>102</v>
      </c>
      <c r="E9" s="26" t="s">
        <v>98</v>
      </c>
      <c r="F9" s="26" t="s">
        <v>107</v>
      </c>
      <c r="G9" s="26">
        <v>30</v>
      </c>
    </row>
    <row r="10" spans="2:11" ht="20.25" customHeight="1" x14ac:dyDescent="0.15">
      <c r="B10" s="1">
        <v>8</v>
      </c>
      <c r="C10" s="1" t="s">
        <v>90</v>
      </c>
      <c r="D10" s="1" t="s">
        <v>108</v>
      </c>
      <c r="E10" s="1" t="s">
        <v>92</v>
      </c>
      <c r="F10" s="1" t="s">
        <v>109</v>
      </c>
      <c r="G10" s="1">
        <v>20</v>
      </c>
    </row>
    <row r="11" spans="2:11" ht="20.25" customHeight="1" x14ac:dyDescent="0.15">
      <c r="B11" s="26">
        <v>9</v>
      </c>
      <c r="C11" s="26" t="s">
        <v>104</v>
      </c>
      <c r="D11" s="26" t="s">
        <v>100</v>
      </c>
      <c r="E11" s="26" t="s">
        <v>105</v>
      </c>
      <c r="F11" s="26" t="s">
        <v>110</v>
      </c>
      <c r="G11" s="26">
        <v>18</v>
      </c>
    </row>
    <row r="12" spans="2:11" ht="20.25" customHeight="1" x14ac:dyDescent="0.15">
      <c r="B12" s="1">
        <v>10</v>
      </c>
      <c r="C12" s="1" t="s">
        <v>94</v>
      </c>
      <c r="D12" s="1" t="s">
        <v>108</v>
      </c>
      <c r="E12" s="1" t="s">
        <v>95</v>
      </c>
      <c r="F12" s="1" t="s">
        <v>111</v>
      </c>
      <c r="G12" s="1">
        <v>25</v>
      </c>
    </row>
    <row r="13" spans="2:11" ht="20.25" customHeight="1" x14ac:dyDescent="0.15">
      <c r="B13" s="26">
        <v>11</v>
      </c>
      <c r="C13" s="26" t="s">
        <v>112</v>
      </c>
      <c r="D13" s="26" t="s">
        <v>91</v>
      </c>
      <c r="E13" s="26" t="s">
        <v>113</v>
      </c>
      <c r="F13" s="26" t="s">
        <v>114</v>
      </c>
      <c r="G13" s="26">
        <v>22</v>
      </c>
    </row>
    <row r="14" spans="2:11" ht="20.25" customHeight="1" x14ac:dyDescent="0.15">
      <c r="B14" s="1">
        <v>12</v>
      </c>
      <c r="C14" s="1" t="s">
        <v>115</v>
      </c>
      <c r="D14" s="1" t="s">
        <v>102</v>
      </c>
      <c r="E14" s="1" t="s">
        <v>116</v>
      </c>
      <c r="F14" s="1" t="s">
        <v>117</v>
      </c>
      <c r="G14" s="1">
        <v>28</v>
      </c>
    </row>
    <row r="15" spans="2:11" ht="20.25" customHeight="1" x14ac:dyDescent="0.15">
      <c r="B15" s="26">
        <v>13</v>
      </c>
      <c r="C15" s="26" t="s">
        <v>90</v>
      </c>
      <c r="D15" s="26" t="s">
        <v>118</v>
      </c>
      <c r="E15" s="26" t="s">
        <v>92</v>
      </c>
      <c r="F15" s="26" t="s">
        <v>119</v>
      </c>
      <c r="G15" s="26">
        <v>20</v>
      </c>
    </row>
    <row r="16" spans="2:11" ht="20.25" customHeight="1" x14ac:dyDescent="0.15">
      <c r="B16" s="1">
        <v>14</v>
      </c>
      <c r="C16" s="1" t="s">
        <v>97</v>
      </c>
      <c r="D16" s="1" t="s">
        <v>100</v>
      </c>
      <c r="E16" s="1" t="s">
        <v>98</v>
      </c>
      <c r="F16" s="1" t="s">
        <v>120</v>
      </c>
      <c r="G16" s="1">
        <v>30</v>
      </c>
    </row>
    <row r="17" spans="2:7" ht="20.25" customHeight="1" x14ac:dyDescent="0.15">
      <c r="B17" s="26">
        <v>15</v>
      </c>
      <c r="C17" s="26" t="s">
        <v>121</v>
      </c>
      <c r="D17" s="26" t="s">
        <v>91</v>
      </c>
      <c r="E17" s="26" t="s">
        <v>122</v>
      </c>
      <c r="F17" s="26" t="s">
        <v>123</v>
      </c>
      <c r="G17" s="26">
        <v>24</v>
      </c>
    </row>
    <row r="18" spans="2:7" ht="20.25" customHeight="1" x14ac:dyDescent="0.15">
      <c r="B18" s="1">
        <v>16</v>
      </c>
      <c r="C18" s="1" t="s">
        <v>94</v>
      </c>
      <c r="D18" s="1" t="s">
        <v>100</v>
      </c>
      <c r="E18" s="1" t="s">
        <v>95</v>
      </c>
      <c r="F18" s="1" t="s">
        <v>124</v>
      </c>
      <c r="G18" s="1">
        <v>25</v>
      </c>
    </row>
    <row r="19" spans="2:7" ht="20.25" customHeight="1" x14ac:dyDescent="0.15">
      <c r="B19" s="26">
        <v>17</v>
      </c>
      <c r="C19" s="26" t="s">
        <v>104</v>
      </c>
      <c r="D19" s="26" t="s">
        <v>102</v>
      </c>
      <c r="E19" s="26" t="s">
        <v>105</v>
      </c>
      <c r="F19" s="26" t="s">
        <v>125</v>
      </c>
      <c r="G19" s="26">
        <v>18</v>
      </c>
    </row>
    <row r="20" spans="2:7" ht="20.25" customHeight="1" x14ac:dyDescent="0.15">
      <c r="B20" s="1">
        <v>18</v>
      </c>
      <c r="C20" s="1" t="s">
        <v>115</v>
      </c>
      <c r="D20" s="1" t="s">
        <v>91</v>
      </c>
      <c r="E20" s="1" t="s">
        <v>116</v>
      </c>
      <c r="F20" s="1" t="s">
        <v>126</v>
      </c>
      <c r="G20" s="1">
        <v>28</v>
      </c>
    </row>
    <row r="21" spans="2:7" ht="20.25" customHeight="1" x14ac:dyDescent="0.15">
      <c r="B21" s="26">
        <v>19</v>
      </c>
      <c r="C21" s="26" t="s">
        <v>90</v>
      </c>
      <c r="D21" s="26" t="s">
        <v>102</v>
      </c>
      <c r="E21" s="26" t="s">
        <v>92</v>
      </c>
      <c r="F21" s="26" t="s">
        <v>127</v>
      </c>
      <c r="G21" s="26">
        <v>20</v>
      </c>
    </row>
    <row r="22" spans="2:7" ht="20.25" customHeight="1" x14ac:dyDescent="0.15">
      <c r="B22" s="1">
        <v>20</v>
      </c>
      <c r="C22" s="1" t="s">
        <v>112</v>
      </c>
      <c r="D22" s="1" t="s">
        <v>100</v>
      </c>
      <c r="E22" s="1" t="s">
        <v>113</v>
      </c>
      <c r="F22" s="1" t="s">
        <v>128</v>
      </c>
      <c r="G22" s="1">
        <v>22</v>
      </c>
    </row>
    <row r="23" spans="2:7" ht="20.25" customHeight="1" x14ac:dyDescent="0.15">
      <c r="B23" s="26">
        <v>21</v>
      </c>
      <c r="C23" s="26" t="s">
        <v>121</v>
      </c>
      <c r="D23" s="26" t="s">
        <v>102</v>
      </c>
      <c r="E23" s="26" t="s">
        <v>122</v>
      </c>
      <c r="F23" s="26" t="s">
        <v>129</v>
      </c>
      <c r="G23" s="26">
        <v>24</v>
      </c>
    </row>
    <row r="24" spans="2:7" ht="20.25" customHeight="1" x14ac:dyDescent="0.15">
      <c r="B24" s="1">
        <v>22</v>
      </c>
      <c r="C24" s="1" t="s">
        <v>97</v>
      </c>
      <c r="D24" s="1" t="s">
        <v>108</v>
      </c>
      <c r="E24" s="1" t="s">
        <v>98</v>
      </c>
      <c r="F24" s="1" t="s">
        <v>130</v>
      </c>
      <c r="G24" s="1">
        <v>30</v>
      </c>
    </row>
    <row r="25" spans="2:7" ht="20.25" customHeight="1" x14ac:dyDescent="0.15">
      <c r="B25" s="26">
        <v>23</v>
      </c>
      <c r="C25" s="26" t="s">
        <v>94</v>
      </c>
      <c r="D25" s="26" t="s">
        <v>118</v>
      </c>
      <c r="E25" s="26" t="s">
        <v>95</v>
      </c>
      <c r="F25" s="26" t="s">
        <v>131</v>
      </c>
      <c r="G25" s="26">
        <v>25</v>
      </c>
    </row>
    <row r="26" spans="2:7" ht="20.25" customHeight="1" x14ac:dyDescent="0.15">
      <c r="B26" s="1">
        <v>24</v>
      </c>
      <c r="C26" s="1" t="s">
        <v>115</v>
      </c>
      <c r="D26" s="1" t="s">
        <v>100</v>
      </c>
      <c r="E26" s="1" t="s">
        <v>116</v>
      </c>
      <c r="F26" s="1" t="s">
        <v>132</v>
      </c>
      <c r="G26" s="1">
        <v>28</v>
      </c>
    </row>
    <row r="27" spans="2:7" ht="20.25" customHeight="1" x14ac:dyDescent="0.15">
      <c r="B27" s="26">
        <v>25</v>
      </c>
      <c r="C27" s="26" t="s">
        <v>104</v>
      </c>
      <c r="D27" s="26" t="s">
        <v>108</v>
      </c>
      <c r="E27" s="26" t="s">
        <v>105</v>
      </c>
      <c r="F27" s="26" t="s">
        <v>133</v>
      </c>
      <c r="G27" s="26">
        <v>18</v>
      </c>
    </row>
    <row r="28" spans="2:7" ht="20.25" customHeight="1" thickBot="1" x14ac:dyDescent="0.2">
      <c r="B28" s="27">
        <v>26</v>
      </c>
      <c r="C28" s="27" t="s">
        <v>90</v>
      </c>
      <c r="D28" s="27" t="s">
        <v>91</v>
      </c>
      <c r="E28" s="27" t="s">
        <v>92</v>
      </c>
      <c r="F28" s="27" t="s">
        <v>134</v>
      </c>
      <c r="G28" s="27">
        <v>20</v>
      </c>
    </row>
  </sheetData>
  <phoneticPr fontId="1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旅行フェア売上</vt:lpstr>
      <vt:lpstr>ツアー名簿</vt:lpstr>
      <vt:lpstr>ツアー申込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dcterms:created xsi:type="dcterms:W3CDTF">2026-06-25T05:21:21Z</dcterms:created>
  <dcterms:modified xsi:type="dcterms:W3CDTF">2026-07-08T01:17:51Z</dcterms:modified>
</cp:coreProperties>
</file>