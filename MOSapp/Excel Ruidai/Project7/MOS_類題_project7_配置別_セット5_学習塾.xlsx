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7\"/>
    </mc:Choice>
  </mc:AlternateContent>
  <xr:revisionPtr revIDLastSave="0" documentId="13_ncr:1_{38B8C4DD-DAFE-48F1-9C28-FBD582F890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受講集計報告" sheetId="2" r:id="rId1"/>
    <sheet name="教材発注明細" sheetId="3" r:id="rId2"/>
    <sheet name="半期集計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F5" i="2" s="1"/>
  <c r="D6" i="2"/>
  <c r="D7" i="2"/>
  <c r="F7" i="2" s="1"/>
  <c r="D8" i="2"/>
  <c r="F8" i="2" s="1"/>
  <c r="D9" i="2"/>
  <c r="F9" i="2" s="1"/>
  <c r="D4" i="2"/>
  <c r="F4" i="2" s="1"/>
  <c r="C10" i="2"/>
  <c r="E10" i="2"/>
  <c r="D10" i="2" l="1"/>
  <c r="F6" i="2"/>
  <c r="F10" i="2" s="1"/>
</calcChain>
</file>

<file path=xl/sharedStrings.xml><?xml version="1.0" encoding="utf-8"?>
<sst xmlns="http://schemas.openxmlformats.org/spreadsheetml/2006/main" count="75" uniqueCount="59">
  <si>
    <t>講座名</t>
  </si>
  <si>
    <t>受講者数</t>
  </si>
  <si>
    <t>発注日</t>
  </si>
  <si>
    <t>7月</t>
  </si>
  <si>
    <t>8月</t>
  </si>
  <si>
    <t>9月</t>
  </si>
  <si>
    <t>受講料</t>
  </si>
  <si>
    <t>教材費</t>
  </si>
  <si>
    <t>利益</t>
  </si>
  <si>
    <t>Word基礎</t>
  </si>
  <si>
    <t>Excel基礎</t>
  </si>
  <si>
    <t>PowerPoint基礎</t>
  </si>
  <si>
    <t>Excel応用</t>
  </si>
  <si>
    <t>MOS Word</t>
  </si>
  <si>
    <t>MOS Excel</t>
  </si>
  <si>
    <t>合計</t>
  </si>
  <si>
    <t>受講集計報告</t>
  </si>
  <si>
    <t>教材名</t>
  </si>
  <si>
    <t>発注数</t>
  </si>
  <si>
    <t>納品数</t>
  </si>
  <si>
    <t>在庫増減</t>
  </si>
  <si>
    <t>教材発注明細表</t>
    <rPh sb="6" eb="7">
      <t>ヒョウ</t>
    </rPh>
    <phoneticPr fontId="2"/>
  </si>
  <si>
    <t>4月</t>
  </si>
  <si>
    <t>5月</t>
  </si>
  <si>
    <t>6月</t>
  </si>
  <si>
    <t>都道府県</t>
  </si>
  <si>
    <t>東京都</t>
  </si>
  <si>
    <t>神奈川県</t>
  </si>
  <si>
    <t>埼玉県</t>
  </si>
  <si>
    <t>千葉県</t>
  </si>
  <si>
    <t>茨城県</t>
  </si>
  <si>
    <t>栃木県</t>
  </si>
  <si>
    <t>半期合計</t>
    <rPh sb="0" eb="2">
      <t>ハンキ</t>
    </rPh>
    <phoneticPr fontId="2"/>
  </si>
  <si>
    <t>教科</t>
  </si>
  <si>
    <t>Word基礎テキスト</t>
  </si>
  <si>
    <t>Word</t>
  </si>
  <si>
    <t>Excel基礎テキスト</t>
  </si>
  <si>
    <t>Excel</t>
  </si>
  <si>
    <t>PowerPoint基礎テキスト</t>
  </si>
  <si>
    <t>PowerPoint</t>
  </si>
  <si>
    <t>Word応用問題集</t>
  </si>
  <si>
    <t>Excel応用問題集</t>
  </si>
  <si>
    <t>MOS Word対策</t>
  </si>
  <si>
    <t>MOS Excel対策</t>
  </si>
  <si>
    <t>MOS PowerPoint対策</t>
  </si>
  <si>
    <t>タイピング練習帳</t>
  </si>
  <si>
    <t>共通</t>
  </si>
  <si>
    <t>情報リテラシー教材</t>
  </si>
  <si>
    <t>Word演習プリント</t>
  </si>
  <si>
    <t>Excel演習プリント</t>
  </si>
  <si>
    <t>PowerPoint演習プリント</t>
  </si>
  <si>
    <t>模擬試験問題集A</t>
  </si>
  <si>
    <t>模擬試験問題集B</t>
  </si>
  <si>
    <t>Word確認テスト</t>
  </si>
  <si>
    <t>Excel確認テスト</t>
  </si>
  <si>
    <t>PowerPoint確認テスト</t>
  </si>
  <si>
    <t>学習記録シート</t>
  </si>
  <si>
    <t>受講案内プリント</t>
  </si>
  <si>
    <t>半 期　集　計</t>
    <rPh sb="0" eb="1">
      <t>ハン</t>
    </rPh>
    <rPh sb="2" eb="3">
      <t>キ</t>
    </rPh>
    <rPh sb="4" eb="5">
      <t>シュウ</t>
    </rPh>
    <rPh sb="6" eb="7">
      <t>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</si>
</sst>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 x14ac:knownFonts="1">
    <font>
      <sz val="11"/>
      <color theme="1"/>
      <name val="HGｺﾞｼｯｸM"/>
      <family val="2"/>
      <scheme val="minor"/>
    </font>
    <font>
      <sz val="11"/>
      <color theme="1"/>
      <name val="HGｺﾞｼｯｸM"/>
      <family val="2"/>
      <scheme val="minor"/>
    </font>
    <font>
      <sz val="6"/>
      <name val="HGｺﾞｼｯｸM"/>
      <family val="3"/>
      <charset val="128"/>
      <scheme val="minor"/>
    </font>
    <font>
      <sz val="11"/>
      <color theme="1"/>
      <name val="BIZ UDP明朝 Medium"/>
      <family val="1"/>
      <charset val="128"/>
    </font>
    <font>
      <b/>
      <sz val="20"/>
      <color theme="4"/>
      <name val="BIZ UDP明朝 Medium"/>
      <family val="1"/>
      <charset val="128"/>
    </font>
    <font>
      <b/>
      <sz val="11"/>
      <color theme="2" tint="-0.89999084444715716"/>
      <name val="BIZ UDP明朝 Medium"/>
      <family val="1"/>
      <charset val="128"/>
    </font>
    <font>
      <b/>
      <sz val="11"/>
      <color theme="1"/>
      <name val="BIZ UDP明朝 Medium"/>
      <family val="1"/>
      <charset val="128"/>
    </font>
    <font>
      <sz val="18"/>
      <color theme="1"/>
      <name val="BIZ UDP明朝 Medium"/>
      <family val="1"/>
      <charset val="128"/>
    </font>
    <font>
      <sz val="18"/>
      <color theme="6" tint="-0.249977111117893"/>
      <name val="BIZ UDP明朝 Medium"/>
      <family val="1"/>
      <charset val="128"/>
    </font>
    <font>
      <b/>
      <sz val="12"/>
      <color theme="8" tint="-0.499984740745262"/>
      <name val="BIZ UDP明朝 Medium"/>
      <family val="1"/>
      <charset val="128"/>
    </font>
    <font>
      <b/>
      <sz val="16"/>
      <color theme="1"/>
      <name val="BIZ UDP明朝 Medium"/>
      <family val="1"/>
      <charset val="128"/>
    </font>
    <font>
      <b/>
      <sz val="12"/>
      <color theme="0"/>
      <name val="BIZ UDP明朝 Medium"/>
      <family val="1"/>
      <charset val="128"/>
    </font>
    <font>
      <sz val="10"/>
      <color theme="1"/>
      <name val="BIZ UDP明朝 Medium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theme="7"/>
      </patternFill>
    </fill>
    <fill>
      <patternFill patternType="solid">
        <fgColor theme="8" tint="0.79998168889431442"/>
        <bgColor theme="8"/>
      </patternFill>
    </fill>
    <fill>
      <patternFill patternType="solid">
        <fgColor theme="4" tint="0.59999389629810485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4" fontId="3" fillId="0" borderId="6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38" fontId="3" fillId="0" borderId="5" xfId="1" applyFont="1" applyBorder="1" applyAlignment="1">
      <alignment vertical="center" wrapText="1"/>
    </xf>
    <xf numFmtId="38" fontId="12" fillId="0" borderId="5" xfId="1" applyFont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38" fontId="12" fillId="2" borderId="5" xfId="1" applyFont="1" applyFill="1" applyBorder="1" applyAlignment="1">
      <alignment vertical="center" wrapText="1"/>
    </xf>
    <xf numFmtId="176" fontId="3" fillId="0" borderId="6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マーキー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tabSelected="1" workbookViewId="0">
      <selection activeCell="F4" sqref="F4"/>
    </sheetView>
  </sheetViews>
  <sheetFormatPr defaultRowHeight="19.5" customHeight="1" x14ac:dyDescent="0.15"/>
  <cols>
    <col min="1" max="1" width="2.875" style="1" customWidth="1"/>
    <col min="2" max="2" width="19.25" style="1" customWidth="1"/>
    <col min="3" max="3" width="18" style="1" customWidth="1"/>
    <col min="4" max="4" width="12" style="1" customWidth="1"/>
    <col min="5" max="7" width="14" style="1" customWidth="1"/>
    <col min="8" max="16384" width="9" style="1"/>
  </cols>
  <sheetData>
    <row r="1" spans="2:6" ht="30" customHeight="1" x14ac:dyDescent="0.15">
      <c r="B1" s="15" t="s">
        <v>16</v>
      </c>
    </row>
    <row r="2" spans="2:6" ht="18.75" x14ac:dyDescent="0.15">
      <c r="B2" s="15"/>
    </row>
    <row r="3" spans="2:6" ht="24.75" customHeight="1" x14ac:dyDescent="0.15">
      <c r="B3" s="16" t="s">
        <v>0</v>
      </c>
      <c r="C3" s="16" t="s">
        <v>1</v>
      </c>
      <c r="D3" s="16" t="s">
        <v>6</v>
      </c>
      <c r="E3" s="16" t="s">
        <v>7</v>
      </c>
      <c r="F3" s="16" t="s">
        <v>8</v>
      </c>
    </row>
    <row r="4" spans="2:6" ht="24.75" customHeight="1" x14ac:dyDescent="0.15">
      <c r="B4" s="17" t="s">
        <v>9</v>
      </c>
      <c r="C4" s="18">
        <v>24</v>
      </c>
      <c r="D4" s="19">
        <f>C4*18000</f>
        <v>432000</v>
      </c>
      <c r="E4" s="18">
        <v>48000</v>
      </c>
      <c r="F4" s="19">
        <f>D4-E4</f>
        <v>384000</v>
      </c>
    </row>
    <row r="5" spans="2:6" ht="24.75" customHeight="1" x14ac:dyDescent="0.15">
      <c r="B5" s="17" t="s">
        <v>10</v>
      </c>
      <c r="C5" s="18">
        <v>30</v>
      </c>
      <c r="D5" s="19">
        <f t="shared" ref="D5:D9" si="0">C5*18000</f>
        <v>540000</v>
      </c>
      <c r="E5" s="18">
        <v>60000</v>
      </c>
      <c r="F5" s="19">
        <f t="shared" ref="F5:F9" si="1">D5-E5</f>
        <v>480000</v>
      </c>
    </row>
    <row r="6" spans="2:6" ht="24.75" customHeight="1" x14ac:dyDescent="0.15">
      <c r="B6" s="17" t="s">
        <v>11</v>
      </c>
      <c r="C6" s="18">
        <v>18</v>
      </c>
      <c r="D6" s="19">
        <f t="shared" si="0"/>
        <v>324000</v>
      </c>
      <c r="E6" s="18">
        <v>36000</v>
      </c>
      <c r="F6" s="19">
        <f t="shared" si="1"/>
        <v>288000</v>
      </c>
    </row>
    <row r="7" spans="2:6" ht="24.75" customHeight="1" x14ac:dyDescent="0.15">
      <c r="B7" s="17" t="s">
        <v>12</v>
      </c>
      <c r="C7" s="18">
        <v>22</v>
      </c>
      <c r="D7" s="19">
        <f t="shared" si="0"/>
        <v>396000</v>
      </c>
      <c r="E7" s="18">
        <v>55000</v>
      </c>
      <c r="F7" s="19">
        <f t="shared" si="1"/>
        <v>341000</v>
      </c>
    </row>
    <row r="8" spans="2:6" ht="24.75" customHeight="1" x14ac:dyDescent="0.15">
      <c r="B8" s="17" t="s">
        <v>13</v>
      </c>
      <c r="C8" s="18">
        <v>15</v>
      </c>
      <c r="D8" s="19">
        <f t="shared" si="0"/>
        <v>270000</v>
      </c>
      <c r="E8" s="18">
        <v>45000</v>
      </c>
      <c r="F8" s="19">
        <f t="shared" si="1"/>
        <v>225000</v>
      </c>
    </row>
    <row r="9" spans="2:6" ht="24.75" customHeight="1" x14ac:dyDescent="0.15">
      <c r="B9" s="17" t="s">
        <v>14</v>
      </c>
      <c r="C9" s="18">
        <v>20</v>
      </c>
      <c r="D9" s="19">
        <f t="shared" si="0"/>
        <v>360000</v>
      </c>
      <c r="E9" s="18">
        <v>60000</v>
      </c>
      <c r="F9" s="19">
        <f t="shared" si="1"/>
        <v>300000</v>
      </c>
    </row>
    <row r="10" spans="2:6" ht="24.75" customHeight="1" x14ac:dyDescent="0.15">
      <c r="B10" s="20" t="s">
        <v>15</v>
      </c>
      <c r="C10" s="21">
        <f>SUM(C3:C8)</f>
        <v>109</v>
      </c>
      <c r="D10" s="21">
        <f>SUM(D3:D8)</f>
        <v>1962000</v>
      </c>
      <c r="E10" s="21">
        <f>SUM(E3:E8)</f>
        <v>244000</v>
      </c>
      <c r="F10" s="21">
        <f>SUM(F3:F8)</f>
        <v>1718000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4"/>
  <sheetViews>
    <sheetView zoomScaleNormal="100" workbookViewId="0">
      <selection activeCell="I12" sqref="E12:I15"/>
    </sheetView>
  </sheetViews>
  <sheetFormatPr defaultRowHeight="19.5" customHeight="1" x14ac:dyDescent="0.15"/>
  <cols>
    <col min="1" max="1" width="5" style="1" customWidth="1"/>
    <col min="2" max="2" width="30" style="1" customWidth="1"/>
    <col min="3" max="3" width="20.625" style="1" customWidth="1"/>
    <col min="4" max="7" width="18.875" style="1" customWidth="1"/>
    <col min="8" max="16384" width="9" style="1"/>
  </cols>
  <sheetData>
    <row r="1" spans="2:7" ht="21" x14ac:dyDescent="0.15">
      <c r="C1" s="10"/>
      <c r="D1" s="10"/>
      <c r="E1" s="10"/>
      <c r="F1" s="10"/>
    </row>
    <row r="2" spans="2:7" ht="36.75" customHeight="1" x14ac:dyDescent="0.15">
      <c r="B2" s="23" t="s">
        <v>21</v>
      </c>
      <c r="C2" s="23"/>
      <c r="D2" s="23"/>
      <c r="E2" s="23"/>
      <c r="F2" s="23"/>
      <c r="G2" s="23"/>
    </row>
    <row r="3" spans="2:7" ht="21" x14ac:dyDescent="0.15">
      <c r="B3" s="11"/>
      <c r="C3" s="11"/>
      <c r="D3" s="11"/>
      <c r="E3" s="11"/>
      <c r="F3" s="11"/>
    </row>
    <row r="4" spans="2:7" ht="28.5" customHeight="1" x14ac:dyDescent="0.15">
      <c r="B4" s="12" t="s">
        <v>17</v>
      </c>
      <c r="C4" s="12" t="s">
        <v>33</v>
      </c>
      <c r="D4" s="12" t="s">
        <v>2</v>
      </c>
      <c r="E4" s="12" t="s">
        <v>18</v>
      </c>
      <c r="F4" s="12" t="s">
        <v>19</v>
      </c>
      <c r="G4" s="12" t="s">
        <v>20</v>
      </c>
    </row>
    <row r="5" spans="2:7" ht="19.5" customHeight="1" x14ac:dyDescent="0.15">
      <c r="B5" s="13" t="s">
        <v>36</v>
      </c>
      <c r="C5" s="13" t="s">
        <v>37</v>
      </c>
      <c r="D5" s="14">
        <v>46204</v>
      </c>
      <c r="E5" s="13">
        <v>35</v>
      </c>
      <c r="F5" s="13">
        <v>33</v>
      </c>
      <c r="G5" s="22">
        <v>1</v>
      </c>
    </row>
    <row r="6" spans="2:7" ht="19.5" customHeight="1" x14ac:dyDescent="0.15">
      <c r="B6" s="13" t="s">
        <v>34</v>
      </c>
      <c r="C6" s="13" t="s">
        <v>35</v>
      </c>
      <c r="D6" s="14">
        <v>46204</v>
      </c>
      <c r="E6" s="13">
        <v>40</v>
      </c>
      <c r="F6" s="13">
        <v>40</v>
      </c>
      <c r="G6" s="22">
        <v>5</v>
      </c>
    </row>
    <row r="7" spans="2:7" ht="19.5" customHeight="1" x14ac:dyDescent="0.15">
      <c r="B7" s="13" t="s">
        <v>38</v>
      </c>
      <c r="C7" s="13" t="s">
        <v>39</v>
      </c>
      <c r="D7" s="14">
        <v>46205</v>
      </c>
      <c r="E7" s="13">
        <v>30</v>
      </c>
      <c r="F7" s="13">
        <v>30</v>
      </c>
      <c r="G7" s="22">
        <v>3</v>
      </c>
    </row>
    <row r="8" spans="2:7" ht="19.5" customHeight="1" x14ac:dyDescent="0.15">
      <c r="B8" s="13" t="s">
        <v>40</v>
      </c>
      <c r="C8" s="13" t="s">
        <v>35</v>
      </c>
      <c r="D8" s="14">
        <v>46205</v>
      </c>
      <c r="E8" s="13">
        <v>25</v>
      </c>
      <c r="F8" s="13">
        <v>24</v>
      </c>
      <c r="G8" s="22">
        <v>1</v>
      </c>
    </row>
    <row r="9" spans="2:7" ht="19.5" customHeight="1" x14ac:dyDescent="0.15">
      <c r="B9" s="13" t="s">
        <v>41</v>
      </c>
      <c r="C9" s="13" t="s">
        <v>37</v>
      </c>
      <c r="D9" s="14">
        <v>46206</v>
      </c>
      <c r="E9" s="13">
        <v>28</v>
      </c>
      <c r="F9" s="13">
        <v>28</v>
      </c>
      <c r="G9" s="22">
        <v>4</v>
      </c>
    </row>
    <row r="10" spans="2:7" ht="19.5" customHeight="1" x14ac:dyDescent="0.15">
      <c r="B10" s="13" t="s">
        <v>42</v>
      </c>
      <c r="C10" s="13" t="s">
        <v>35</v>
      </c>
      <c r="D10" s="14">
        <v>46206</v>
      </c>
      <c r="E10" s="13">
        <v>22</v>
      </c>
      <c r="F10" s="13">
        <v>22</v>
      </c>
      <c r="G10" s="22">
        <v>2</v>
      </c>
    </row>
    <row r="11" spans="2:7" ht="19.5" customHeight="1" x14ac:dyDescent="0.15">
      <c r="B11" s="13" t="s">
        <v>43</v>
      </c>
      <c r="C11" s="13" t="s">
        <v>37</v>
      </c>
      <c r="D11" s="14">
        <v>46207</v>
      </c>
      <c r="E11" s="13">
        <v>24</v>
      </c>
      <c r="F11" s="13">
        <v>23</v>
      </c>
      <c r="G11" s="22">
        <v>3</v>
      </c>
    </row>
    <row r="12" spans="2:7" ht="19.5" customHeight="1" x14ac:dyDescent="0.15">
      <c r="B12" s="13" t="s">
        <v>44</v>
      </c>
      <c r="C12" s="13" t="s">
        <v>39</v>
      </c>
      <c r="D12" s="14">
        <v>46207</v>
      </c>
      <c r="E12" s="13">
        <v>18</v>
      </c>
      <c r="F12" s="13">
        <v>18</v>
      </c>
      <c r="G12" s="22">
        <v>1</v>
      </c>
    </row>
    <row r="13" spans="2:7" ht="19.5" customHeight="1" x14ac:dyDescent="0.15">
      <c r="B13" s="13" t="s">
        <v>45</v>
      </c>
      <c r="C13" s="13" t="s">
        <v>46</v>
      </c>
      <c r="D13" s="14">
        <v>46208</v>
      </c>
      <c r="E13" s="13">
        <v>50</v>
      </c>
      <c r="F13" s="13">
        <v>50</v>
      </c>
      <c r="G13" s="22">
        <v>8</v>
      </c>
    </row>
    <row r="14" spans="2:7" ht="19.5" customHeight="1" x14ac:dyDescent="0.15">
      <c r="B14" s="13" t="s">
        <v>47</v>
      </c>
      <c r="C14" s="13" t="s">
        <v>46</v>
      </c>
      <c r="D14" s="14">
        <v>46208</v>
      </c>
      <c r="E14" s="13">
        <v>45</v>
      </c>
      <c r="F14" s="13">
        <v>44</v>
      </c>
      <c r="G14" s="22">
        <v>1</v>
      </c>
    </row>
    <row r="15" spans="2:7" ht="19.5" customHeight="1" x14ac:dyDescent="0.15">
      <c r="B15" s="13" t="s">
        <v>49</v>
      </c>
      <c r="C15" s="13" t="s">
        <v>37</v>
      </c>
      <c r="D15" s="14">
        <v>46209</v>
      </c>
      <c r="E15" s="13">
        <v>55</v>
      </c>
      <c r="F15" s="13">
        <v>53</v>
      </c>
      <c r="G15" s="22">
        <v>2</v>
      </c>
    </row>
    <row r="16" spans="2:7" ht="19.5" customHeight="1" x14ac:dyDescent="0.15">
      <c r="B16" s="13" t="s">
        <v>48</v>
      </c>
      <c r="C16" s="13" t="s">
        <v>35</v>
      </c>
      <c r="D16" s="14">
        <v>46209</v>
      </c>
      <c r="E16" s="13">
        <v>60</v>
      </c>
      <c r="F16" s="13">
        <v>60</v>
      </c>
      <c r="G16" s="22">
        <v>10</v>
      </c>
    </row>
    <row r="17" spans="2:7" ht="19.5" customHeight="1" x14ac:dyDescent="0.15">
      <c r="B17" s="13" t="s">
        <v>50</v>
      </c>
      <c r="C17" s="13" t="s">
        <v>39</v>
      </c>
      <c r="D17" s="14">
        <v>46210</v>
      </c>
      <c r="E17" s="13">
        <v>48</v>
      </c>
      <c r="F17" s="13">
        <v>48</v>
      </c>
      <c r="G17" s="22">
        <v>6</v>
      </c>
    </row>
    <row r="18" spans="2:7" ht="19.5" customHeight="1" x14ac:dyDescent="0.15">
      <c r="B18" s="13" t="s">
        <v>51</v>
      </c>
      <c r="C18" s="13" t="s">
        <v>46</v>
      </c>
      <c r="D18" s="14">
        <v>46210</v>
      </c>
      <c r="E18" s="13">
        <v>32</v>
      </c>
      <c r="F18" s="13">
        <v>30</v>
      </c>
      <c r="G18" s="22">
        <v>4</v>
      </c>
    </row>
    <row r="19" spans="2:7" ht="19.5" customHeight="1" x14ac:dyDescent="0.15">
      <c r="B19" s="13" t="s">
        <v>53</v>
      </c>
      <c r="C19" s="13" t="s">
        <v>35</v>
      </c>
      <c r="D19" s="14">
        <v>46211</v>
      </c>
      <c r="E19" s="13">
        <v>42</v>
      </c>
      <c r="F19" s="13">
        <v>41</v>
      </c>
      <c r="G19" s="22">
        <v>1</v>
      </c>
    </row>
    <row r="20" spans="2:7" ht="19.5" customHeight="1" x14ac:dyDescent="0.15">
      <c r="B20" s="13" t="s">
        <v>52</v>
      </c>
      <c r="C20" s="13" t="s">
        <v>46</v>
      </c>
      <c r="D20" s="14">
        <v>46211</v>
      </c>
      <c r="E20" s="13">
        <v>34</v>
      </c>
      <c r="F20" s="13">
        <v>34</v>
      </c>
      <c r="G20" s="22">
        <v>2</v>
      </c>
    </row>
    <row r="21" spans="2:7" ht="19.5" customHeight="1" x14ac:dyDescent="0.15">
      <c r="B21" s="13" t="s">
        <v>54</v>
      </c>
      <c r="C21" s="13" t="s">
        <v>37</v>
      </c>
      <c r="D21" s="14">
        <v>46212</v>
      </c>
      <c r="E21" s="13">
        <v>44</v>
      </c>
      <c r="F21" s="13">
        <v>44</v>
      </c>
      <c r="G21" s="22">
        <v>5</v>
      </c>
    </row>
    <row r="22" spans="2:7" ht="19.5" customHeight="1" x14ac:dyDescent="0.15">
      <c r="B22" s="13" t="s">
        <v>55</v>
      </c>
      <c r="C22" s="13" t="s">
        <v>39</v>
      </c>
      <c r="D22" s="14">
        <v>46212</v>
      </c>
      <c r="E22" s="13">
        <v>36</v>
      </c>
      <c r="F22" s="13">
        <v>35</v>
      </c>
      <c r="G22" s="22">
        <v>-2</v>
      </c>
    </row>
    <row r="23" spans="2:7" ht="19.5" customHeight="1" x14ac:dyDescent="0.15">
      <c r="B23" s="13" t="s">
        <v>57</v>
      </c>
      <c r="C23" s="13" t="s">
        <v>46</v>
      </c>
      <c r="D23" s="14">
        <v>46213</v>
      </c>
      <c r="E23" s="13">
        <v>80</v>
      </c>
      <c r="F23" s="13">
        <v>78</v>
      </c>
      <c r="G23" s="22">
        <v>1</v>
      </c>
    </row>
    <row r="24" spans="2:7" ht="19.5" customHeight="1" x14ac:dyDescent="0.15">
      <c r="B24" s="13" t="s">
        <v>56</v>
      </c>
      <c r="C24" s="13" t="s">
        <v>46</v>
      </c>
      <c r="D24" s="14">
        <v>46213</v>
      </c>
      <c r="E24" s="13">
        <v>70</v>
      </c>
      <c r="F24" s="13">
        <v>70</v>
      </c>
      <c r="G24" s="22">
        <v>12</v>
      </c>
    </row>
  </sheetData>
  <sortState xmlns:xlrd2="http://schemas.microsoft.com/office/spreadsheetml/2017/richdata2" ref="B5:G24">
    <sortCondition ref="D4:D24"/>
  </sortState>
  <mergeCells count="1">
    <mergeCell ref="B2:G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9"/>
  <sheetViews>
    <sheetView workbookViewId="0"/>
  </sheetViews>
  <sheetFormatPr defaultRowHeight="19.5" customHeight="1" x14ac:dyDescent="0.15"/>
  <cols>
    <col min="1" max="1" width="3" style="1" customWidth="1"/>
    <col min="2" max="2" width="18" style="1" customWidth="1"/>
    <col min="3" max="8" width="10" style="1" customWidth="1"/>
    <col min="9" max="9" width="15.25" style="1" customWidth="1"/>
    <col min="10" max="16384" width="9" style="1"/>
  </cols>
  <sheetData>
    <row r="1" spans="2:9" ht="13.5" x14ac:dyDescent="0.15"/>
    <row r="2" spans="2:9" ht="33" customHeight="1" x14ac:dyDescent="0.15">
      <c r="B2" s="2" t="s">
        <v>58</v>
      </c>
    </row>
    <row r="3" spans="2:9" s="5" customFormat="1" ht="24.75" customHeight="1" x14ac:dyDescent="0.15">
      <c r="B3" s="3" t="s">
        <v>25</v>
      </c>
      <c r="C3" s="4" t="s">
        <v>22</v>
      </c>
      <c r="D3" s="4" t="s">
        <v>23</v>
      </c>
      <c r="E3" s="4" t="s">
        <v>24</v>
      </c>
      <c r="F3" s="4" t="s">
        <v>3</v>
      </c>
      <c r="G3" s="4" t="s">
        <v>4</v>
      </c>
      <c r="H3" s="4" t="s">
        <v>5</v>
      </c>
      <c r="I3" s="4" t="s">
        <v>32</v>
      </c>
    </row>
    <row r="4" spans="2:9" ht="24.75" customHeight="1" x14ac:dyDescent="0.15">
      <c r="B4" s="6" t="s">
        <v>26</v>
      </c>
      <c r="C4" s="7">
        <v>42</v>
      </c>
      <c r="D4" s="7">
        <v>48</v>
      </c>
      <c r="E4" s="7">
        <v>45</v>
      </c>
      <c r="F4" s="7">
        <v>51</v>
      </c>
      <c r="G4" s="7">
        <v>56</v>
      </c>
      <c r="H4" s="7">
        <v>54</v>
      </c>
      <c r="I4" s="7">
        <v>296</v>
      </c>
    </row>
    <row r="5" spans="2:9" ht="24.75" customHeight="1" x14ac:dyDescent="0.15">
      <c r="B5" s="6" t="s">
        <v>27</v>
      </c>
      <c r="C5" s="7">
        <v>38</v>
      </c>
      <c r="D5" s="7">
        <v>40</v>
      </c>
      <c r="E5" s="7">
        <v>43</v>
      </c>
      <c r="F5" s="7">
        <v>47</v>
      </c>
      <c r="G5" s="7">
        <v>50</v>
      </c>
      <c r="H5" s="7">
        <v>52</v>
      </c>
      <c r="I5" s="7">
        <v>270</v>
      </c>
    </row>
    <row r="6" spans="2:9" ht="24.75" customHeight="1" x14ac:dyDescent="0.15">
      <c r="B6" s="6" t="s">
        <v>28</v>
      </c>
      <c r="C6" s="7">
        <v>31</v>
      </c>
      <c r="D6" s="7">
        <v>35</v>
      </c>
      <c r="E6" s="7">
        <v>37</v>
      </c>
      <c r="F6" s="7">
        <v>39</v>
      </c>
      <c r="G6" s="7">
        <v>41</v>
      </c>
      <c r="H6" s="7">
        <v>44</v>
      </c>
      <c r="I6" s="7">
        <v>227</v>
      </c>
    </row>
    <row r="7" spans="2:9" ht="24.75" customHeight="1" x14ac:dyDescent="0.15">
      <c r="B7" s="6" t="s">
        <v>29</v>
      </c>
      <c r="C7" s="7">
        <v>46</v>
      </c>
      <c r="D7" s="7">
        <v>50</v>
      </c>
      <c r="E7" s="7">
        <v>53</v>
      </c>
      <c r="F7" s="7">
        <v>58</v>
      </c>
      <c r="G7" s="7">
        <v>61</v>
      </c>
      <c r="H7" s="7">
        <v>63</v>
      </c>
      <c r="I7" s="7">
        <v>331</v>
      </c>
    </row>
    <row r="8" spans="2:9" ht="24.75" customHeight="1" x14ac:dyDescent="0.15">
      <c r="B8" s="6" t="s">
        <v>30</v>
      </c>
      <c r="C8" s="7">
        <v>28</v>
      </c>
      <c r="D8" s="7">
        <v>30</v>
      </c>
      <c r="E8" s="7">
        <v>33</v>
      </c>
      <c r="F8" s="7">
        <v>36</v>
      </c>
      <c r="G8" s="7">
        <v>38</v>
      </c>
      <c r="H8" s="7">
        <v>40</v>
      </c>
      <c r="I8" s="7">
        <v>205</v>
      </c>
    </row>
    <row r="9" spans="2:9" ht="24.75" customHeight="1" x14ac:dyDescent="0.15">
      <c r="B9" s="8" t="s">
        <v>31</v>
      </c>
      <c r="C9" s="9">
        <v>35</v>
      </c>
      <c r="D9" s="9">
        <v>37</v>
      </c>
      <c r="E9" s="9">
        <v>39</v>
      </c>
      <c r="F9" s="9">
        <v>42</v>
      </c>
      <c r="G9" s="9">
        <v>45</v>
      </c>
      <c r="H9" s="9">
        <v>47</v>
      </c>
      <c r="I9" s="9">
        <v>245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受講集計報告</vt:lpstr>
      <vt:lpstr>教材発注明細</vt:lpstr>
      <vt:lpstr>半期集計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2026-06-25T05:03:56Z</dcterms:created>
  <dcterms:modified xsi:type="dcterms:W3CDTF">2026-07-08T01:00:18Z</dcterms:modified>
</cp:coreProperties>
</file>