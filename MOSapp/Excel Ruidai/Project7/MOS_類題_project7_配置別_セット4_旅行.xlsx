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Project7\"/>
    </mc:Choice>
  </mc:AlternateContent>
  <xr:revisionPtr revIDLastSave="0" documentId="13_ncr:1_{3C9135AB-CC8E-4BEE-8EC3-C0F75C157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予約集計報告" sheetId="2" r:id="rId1"/>
    <sheet name="航空券明細" sheetId="3" r:id="rId2"/>
    <sheet name="旅行年間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D7" i="2"/>
  <c r="D9" i="2"/>
  <c r="D10" i="2"/>
  <c r="D5" i="2"/>
  <c r="F5" i="2"/>
  <c r="B11" i="2"/>
  <c r="C11" i="2"/>
  <c r="E11" i="2"/>
  <c r="F11" i="2" l="1"/>
  <c r="D11" i="2"/>
</calcChain>
</file>

<file path=xl/sharedStrings.xml><?xml version="1.0" encoding="utf-8"?>
<sst xmlns="http://schemas.openxmlformats.org/spreadsheetml/2006/main" count="61" uniqueCount="58">
  <si>
    <t>売上</t>
  </si>
  <si>
    <t>北海道</t>
  </si>
  <si>
    <t>沖縄</t>
  </si>
  <si>
    <t>関西</t>
  </si>
  <si>
    <t>7月</t>
  </si>
  <si>
    <t>8月</t>
  </si>
  <si>
    <t>9月</t>
  </si>
  <si>
    <t>10月</t>
  </si>
  <si>
    <t>11月</t>
  </si>
  <si>
    <t>12月</t>
  </si>
  <si>
    <t>旅行商品</t>
  </si>
  <si>
    <t>予約件数</t>
  </si>
  <si>
    <t>仕入原価</t>
  </si>
  <si>
    <t>利益</t>
  </si>
  <si>
    <t>北海道ツアー</t>
  </si>
  <si>
    <t>沖縄ツアー</t>
  </si>
  <si>
    <t>九州ツアー</t>
  </si>
  <si>
    <t>関西ツアー</t>
  </si>
  <si>
    <t>東北ツアー</t>
  </si>
  <si>
    <t>海外ツアー</t>
  </si>
  <si>
    <t>合計</t>
  </si>
  <si>
    <t>単価</t>
    <rPh sb="0" eb="2">
      <t>タンカ</t>
    </rPh>
    <phoneticPr fontId="2"/>
  </si>
  <si>
    <t>航空会社</t>
  </si>
  <si>
    <t>出発日</t>
  </si>
  <si>
    <t>便名</t>
  </si>
  <si>
    <t>発券枚数</t>
  </si>
  <si>
    <t>料金</t>
  </si>
  <si>
    <t>手配手数料</t>
  </si>
  <si>
    <t>ANA</t>
  </si>
  <si>
    <t>NH301</t>
  </si>
  <si>
    <t>JAL</t>
  </si>
  <si>
    <t>JL215</t>
  </si>
  <si>
    <t>NH325</t>
  </si>
  <si>
    <t>スカイマーク</t>
  </si>
  <si>
    <t>BC501</t>
  </si>
  <si>
    <t>JL301</t>
  </si>
  <si>
    <t>ソラシドエア</t>
  </si>
  <si>
    <t>6J041</t>
  </si>
  <si>
    <t>NH341</t>
  </si>
  <si>
    <t>ピーチ</t>
  </si>
  <si>
    <t>MM121</t>
  </si>
  <si>
    <t>旅行先</t>
  </si>
  <si>
    <t>4月</t>
  </si>
  <si>
    <t>5月</t>
  </si>
  <si>
    <t>6月</t>
  </si>
  <si>
    <t>年間合計</t>
  </si>
  <si>
    <t>九州</t>
  </si>
  <si>
    <t>東北</t>
  </si>
  <si>
    <t>海外</t>
  </si>
  <si>
    <t>1月</t>
  </si>
  <si>
    <t>2月</t>
  </si>
  <si>
    <t>3月</t>
  </si>
  <si>
    <t>旅行商品別予約実績</t>
  </si>
  <si>
    <t>月　別　予　約　件　数</t>
    <rPh sb="0" eb="1">
      <t>ツキ</t>
    </rPh>
    <rPh sb="2" eb="3">
      <t>ベツ</t>
    </rPh>
    <rPh sb="4" eb="5">
      <t>ヨ</t>
    </rPh>
    <rPh sb="6" eb="7">
      <t>ヤク</t>
    </rPh>
    <rPh sb="8" eb="9">
      <t>ケン</t>
    </rPh>
    <rPh sb="10" eb="11">
      <t>スウ</t>
    </rPh>
    <phoneticPr fontId="2"/>
  </si>
  <si>
    <t>旅　行　券　明　細</t>
    <rPh sb="0" eb="1">
      <t>タビ</t>
    </rPh>
    <rPh sb="2" eb="3">
      <t>ギョウ</t>
    </rPh>
    <rPh sb="4" eb="5">
      <t>ケン</t>
    </rPh>
    <rPh sb="6" eb="7">
      <t>アキラ</t>
    </rPh>
    <rPh sb="8" eb="9">
      <t>ホソ</t>
    </rPh>
    <phoneticPr fontId="2"/>
  </si>
  <si>
    <t>予　約　集　計　報　告</t>
    <rPh sb="0" eb="1">
      <t>ヨ</t>
    </rPh>
    <rPh sb="2" eb="3">
      <t>ヤク</t>
    </rPh>
    <rPh sb="4" eb="5">
      <t>シュウ</t>
    </rPh>
    <rPh sb="6" eb="7">
      <t>ケイ</t>
    </rPh>
    <rPh sb="8" eb="9">
      <t>ホウ</t>
    </rPh>
    <rPh sb="10" eb="11">
      <t>コク</t>
    </rPh>
    <phoneticPr fontId="2"/>
  </si>
  <si>
    <t>航空券手配一覧</t>
    <phoneticPr fontId="2"/>
  </si>
  <si>
    <t>前年増減</t>
    <rPh sb="0" eb="2">
      <t>ゼンネン</t>
    </rPh>
    <rPh sb="2" eb="4">
      <t>ゾウゲン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</si>
</sst>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#,##0;[Red]#,##0"/>
  </numFmts>
  <fonts count="12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b/>
      <sz val="11"/>
      <color theme="1" tint="0.1499984740745262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theme="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38" fontId="10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2" xfId="0" applyBorder="1"/>
    <xf numFmtId="3" fontId="0" fillId="0" borderId="2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6" xfId="0" applyBorder="1" applyAlignment="1">
      <alignment vertical="center" wrapText="1"/>
    </xf>
    <xf numFmtId="176" fontId="0" fillId="0" borderId="6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3" fontId="0" fillId="0" borderId="6" xfId="0" applyNumberFormat="1" applyBorder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76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3" fontId="0" fillId="0" borderId="4" xfId="0" applyNumberFormat="1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76" fontId="0" fillId="0" borderId="8" xfId="0" applyNumberFormat="1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3" fontId="0" fillId="0" borderId="8" xfId="0" applyNumberFormat="1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38" fontId="0" fillId="0" borderId="2" xfId="1" applyFont="1" applyBorder="1" applyAlignment="1">
      <alignment vertical="center"/>
    </xf>
    <xf numFmtId="38" fontId="0" fillId="0" borderId="0" xfId="1" applyFont="1" applyAlignment="1">
      <alignment vertical="center"/>
    </xf>
    <xf numFmtId="38" fontId="0" fillId="0" borderId="1" xfId="1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right" vertical="center"/>
    </xf>
    <xf numFmtId="3" fontId="11" fillId="0" borderId="11" xfId="0" applyNumberFormat="1" applyFont="1" applyBorder="1" applyAlignment="1">
      <alignment horizontal="right" vertical="center"/>
    </xf>
    <xf numFmtId="38" fontId="11" fillId="0" borderId="11" xfId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3" fontId="11" fillId="0" borderId="0" xfId="0" applyNumberFormat="1" applyFont="1" applyAlignment="1">
      <alignment horizontal="right" vertical="center"/>
    </xf>
    <xf numFmtId="38" fontId="11" fillId="0" borderId="0" xfId="1" applyFont="1" applyAlignment="1">
      <alignment horizontal="right" vertical="center"/>
    </xf>
    <xf numFmtId="177" fontId="11" fillId="0" borderId="0" xfId="1" applyNumberFormat="1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3" fontId="11" fillId="0" borderId="10" xfId="0" applyNumberFormat="1" applyFont="1" applyBorder="1" applyAlignment="1">
      <alignment horizontal="right" vertical="center"/>
    </xf>
    <xf numFmtId="38" fontId="11" fillId="0" borderId="10" xfId="1" applyFont="1" applyBorder="1" applyAlignment="1">
      <alignment horizontal="righ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ファセット">
  <a:themeElements>
    <a:clrScheme name="ファセット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ファセット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5" sqref="F5"/>
    </sheetView>
  </sheetViews>
  <sheetFormatPr defaultColWidth="14.25" defaultRowHeight="22.5" customHeight="1" x14ac:dyDescent="0.4"/>
  <cols>
    <col min="1" max="1" width="14.25" style="1"/>
    <col min="2" max="6" width="13.5" style="1" customWidth="1"/>
    <col min="7" max="16384" width="14.25" style="1"/>
  </cols>
  <sheetData>
    <row r="1" spans="1:6" ht="22.5" customHeight="1" x14ac:dyDescent="0.4">
      <c r="A1" s="47" t="s">
        <v>55</v>
      </c>
      <c r="B1" s="48"/>
      <c r="C1" s="48"/>
      <c r="D1" s="48"/>
      <c r="E1" s="48"/>
      <c r="F1" s="49"/>
    </row>
    <row r="3" spans="1:6" ht="22.5" customHeight="1" x14ac:dyDescent="0.4">
      <c r="A3" s="50" t="s">
        <v>52</v>
      </c>
      <c r="B3" s="50"/>
      <c r="C3" s="50"/>
      <c r="D3" s="50"/>
      <c r="E3" s="50"/>
      <c r="F3" s="50"/>
    </row>
    <row r="4" spans="1:6" s="4" customFormat="1" ht="22.5" customHeight="1" thickBot="1" x14ac:dyDescent="0.45">
      <c r="A4" s="27" t="s">
        <v>10</v>
      </c>
      <c r="B4" s="27" t="s">
        <v>11</v>
      </c>
      <c r="C4" s="27" t="s">
        <v>21</v>
      </c>
      <c r="D4" s="27" t="s">
        <v>0</v>
      </c>
      <c r="E4" s="27" t="s">
        <v>12</v>
      </c>
      <c r="F4" s="27" t="s">
        <v>13</v>
      </c>
    </row>
    <row r="5" spans="1:6" ht="22.5" customHeight="1" x14ac:dyDescent="0.4">
      <c r="A5" s="6" t="s">
        <v>14</v>
      </c>
      <c r="B5" s="6">
        <v>128</v>
      </c>
      <c r="C5" s="7">
        <v>40000</v>
      </c>
      <c r="D5" s="8">
        <f>B5*C5</f>
        <v>5120000</v>
      </c>
      <c r="E5" s="8">
        <v>4380000</v>
      </c>
      <c r="F5" s="31">
        <f>D5-E5</f>
        <v>740000</v>
      </c>
    </row>
    <row r="6" spans="1:6" ht="22.5" customHeight="1" x14ac:dyDescent="0.4">
      <c r="A6" s="1" t="s">
        <v>15</v>
      </c>
      <c r="B6" s="1">
        <v>96</v>
      </c>
      <c r="C6">
        <v>38000</v>
      </c>
      <c r="D6" s="3">
        <v>3896743</v>
      </c>
      <c r="E6" s="3">
        <v>3720000</v>
      </c>
      <c r="F6" s="32">
        <f>D6-E6</f>
        <v>176743</v>
      </c>
    </row>
    <row r="7" spans="1:6" ht="22.5" customHeight="1" x14ac:dyDescent="0.4">
      <c r="A7" s="1" t="s">
        <v>16</v>
      </c>
      <c r="B7" s="1">
        <v>82</v>
      </c>
      <c r="C7">
        <v>34000</v>
      </c>
      <c r="D7" s="3">
        <f t="shared" ref="D7:D10" si="0">B7*C7</f>
        <v>2788000</v>
      </c>
      <c r="E7" s="3">
        <v>2540000</v>
      </c>
      <c r="F7" s="32">
        <f t="shared" ref="F7:F10" si="1">D7-E7</f>
        <v>248000</v>
      </c>
    </row>
    <row r="8" spans="1:6" ht="22.5" customHeight="1" x14ac:dyDescent="0.4">
      <c r="A8" s="1" t="s">
        <v>17</v>
      </c>
      <c r="B8" s="1">
        <v>110</v>
      </c>
      <c r="C8">
        <v>32000</v>
      </c>
      <c r="D8" s="3">
        <v>3967412</v>
      </c>
      <c r="E8" s="3">
        <v>3618000</v>
      </c>
      <c r="F8" s="32">
        <f t="shared" si="1"/>
        <v>349412</v>
      </c>
    </row>
    <row r="9" spans="1:6" ht="22.5" customHeight="1" x14ac:dyDescent="0.4">
      <c r="A9" s="1" t="s">
        <v>18</v>
      </c>
      <c r="B9" s="1">
        <v>75</v>
      </c>
      <c r="C9">
        <v>30000</v>
      </c>
      <c r="D9" s="3">
        <f t="shared" si="0"/>
        <v>2250000</v>
      </c>
      <c r="E9" s="3">
        <v>2060000</v>
      </c>
      <c r="F9" s="32">
        <f t="shared" si="1"/>
        <v>190000</v>
      </c>
    </row>
    <row r="10" spans="1:6" ht="22.5" customHeight="1" thickBot="1" x14ac:dyDescent="0.45">
      <c r="A10" s="9" t="s">
        <v>19</v>
      </c>
      <c r="B10" s="9">
        <v>68</v>
      </c>
      <c r="C10" s="5">
        <v>65000</v>
      </c>
      <c r="D10" s="10">
        <f t="shared" si="0"/>
        <v>4420000</v>
      </c>
      <c r="E10" s="10">
        <v>4060000</v>
      </c>
      <c r="F10" s="33">
        <f t="shared" si="1"/>
        <v>360000</v>
      </c>
    </row>
    <row r="11" spans="1:6" ht="22.5" customHeight="1" x14ac:dyDescent="0.4">
      <c r="A11" s="28" t="s">
        <v>20</v>
      </c>
      <c r="B11" s="1">
        <f t="shared" ref="B11:E11" si="2">SUM(B5:B10)</f>
        <v>559</v>
      </c>
      <c r="C11" s="1">
        <f t="shared" si="2"/>
        <v>239000</v>
      </c>
      <c r="D11" s="3">
        <f t="shared" si="2"/>
        <v>22442155</v>
      </c>
      <c r="E11" s="3">
        <f t="shared" si="2"/>
        <v>20378000</v>
      </c>
      <c r="F11" s="3">
        <f>SUM(F5:F10)</f>
        <v>2064155</v>
      </c>
    </row>
  </sheetData>
  <mergeCells count="2">
    <mergeCell ref="A1:F1"/>
    <mergeCell ref="A3:F3"/>
  </mergeCells>
  <phoneticPr fontId="2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5"/>
  <sheetViews>
    <sheetView zoomScaleNormal="100" workbookViewId="0"/>
  </sheetViews>
  <sheetFormatPr defaultRowHeight="22.5" customHeight="1" x14ac:dyDescent="0.4"/>
  <cols>
    <col min="1" max="1" width="2" style="1" customWidth="1"/>
    <col min="2" max="2" width="18.75" style="1" customWidth="1"/>
    <col min="3" max="3" width="18.5" style="1" customWidth="1"/>
    <col min="4" max="4" width="15.75" style="1" customWidth="1"/>
    <col min="5" max="5" width="10.25" style="1" customWidth="1"/>
    <col min="6" max="7" width="15.75" style="1" customWidth="1"/>
    <col min="8" max="16384" width="9" style="1"/>
  </cols>
  <sheetData>
    <row r="1" spans="2:7" ht="12.75" customHeight="1" thickBot="1" x14ac:dyDescent="0.45"/>
    <row r="2" spans="2:7" ht="32.25" customHeight="1" thickTop="1" thickBot="1" x14ac:dyDescent="0.45">
      <c r="B2" s="51" t="s">
        <v>54</v>
      </c>
      <c r="C2" s="51"/>
      <c r="D2" s="51"/>
      <c r="E2" s="51"/>
      <c r="F2" s="51"/>
      <c r="G2" s="51"/>
    </row>
    <row r="3" spans="2:7" customFormat="1" ht="22.5" customHeight="1" thickTop="1" x14ac:dyDescent="0.4"/>
    <row r="5" spans="2:7" ht="22.5" customHeight="1" x14ac:dyDescent="0.4">
      <c r="B5" s="52" t="s">
        <v>56</v>
      </c>
      <c r="C5" s="53"/>
      <c r="D5" s="53"/>
      <c r="E5" s="53"/>
      <c r="F5" s="53"/>
      <c r="G5" s="54"/>
    </row>
    <row r="6" spans="2:7" ht="24" customHeight="1" thickBot="1" x14ac:dyDescent="0.45">
      <c r="B6" s="29" t="s">
        <v>22</v>
      </c>
      <c r="C6" s="29" t="s">
        <v>23</v>
      </c>
      <c r="D6" s="29" t="s">
        <v>24</v>
      </c>
      <c r="E6" s="29" t="s">
        <v>25</v>
      </c>
      <c r="F6" s="29" t="s">
        <v>26</v>
      </c>
      <c r="G6" s="30" t="s">
        <v>27</v>
      </c>
    </row>
    <row r="7" spans="2:7" ht="24" customHeight="1" x14ac:dyDescent="0.4">
      <c r="B7" s="11" t="s">
        <v>28</v>
      </c>
      <c r="C7" s="12">
        <v>46213</v>
      </c>
      <c r="D7" s="13" t="s">
        <v>29</v>
      </c>
      <c r="E7" s="11">
        <v>18</v>
      </c>
      <c r="F7" s="14">
        <v>684000</v>
      </c>
      <c r="G7" s="15">
        <v>18000</v>
      </c>
    </row>
    <row r="8" spans="2:7" ht="24" customHeight="1" x14ac:dyDescent="0.4">
      <c r="B8" s="16" t="s">
        <v>30</v>
      </c>
      <c r="C8" s="17">
        <v>46215</v>
      </c>
      <c r="D8" s="18" t="s">
        <v>31</v>
      </c>
      <c r="E8" s="16">
        <v>22</v>
      </c>
      <c r="F8" s="19">
        <v>836000</v>
      </c>
      <c r="G8" s="20">
        <v>22000</v>
      </c>
    </row>
    <row r="9" spans="2:7" ht="24" customHeight="1" x14ac:dyDescent="0.4">
      <c r="B9" s="16" t="s">
        <v>28</v>
      </c>
      <c r="C9" s="17">
        <v>46221</v>
      </c>
      <c r="D9" s="18" t="s">
        <v>32</v>
      </c>
      <c r="E9" s="16">
        <v>15</v>
      </c>
      <c r="F9" s="19">
        <v>555000</v>
      </c>
      <c r="G9" s="20">
        <v>15000</v>
      </c>
    </row>
    <row r="10" spans="2:7" ht="24" customHeight="1" x14ac:dyDescent="0.4">
      <c r="B10" s="16" t="s">
        <v>33</v>
      </c>
      <c r="C10" s="17">
        <v>46223</v>
      </c>
      <c r="D10" s="18" t="s">
        <v>34</v>
      </c>
      <c r="E10" s="16">
        <v>12</v>
      </c>
      <c r="F10" s="19">
        <v>288000</v>
      </c>
      <c r="G10" s="20">
        <v>12000</v>
      </c>
    </row>
    <row r="11" spans="2:7" ht="24" customHeight="1" x14ac:dyDescent="0.4">
      <c r="B11" s="16" t="s">
        <v>30</v>
      </c>
      <c r="C11" s="17">
        <v>46225</v>
      </c>
      <c r="D11" s="18" t="s">
        <v>35</v>
      </c>
      <c r="E11" s="16">
        <v>20</v>
      </c>
      <c r="F11" s="19">
        <v>760000</v>
      </c>
      <c r="G11" s="20">
        <v>20000</v>
      </c>
    </row>
    <row r="12" spans="2:7" ht="24" customHeight="1" x14ac:dyDescent="0.4">
      <c r="B12" s="16" t="s">
        <v>36</v>
      </c>
      <c r="C12" s="17">
        <v>46227</v>
      </c>
      <c r="D12" s="18" t="s">
        <v>37</v>
      </c>
      <c r="E12" s="16">
        <v>10</v>
      </c>
      <c r="F12" s="19">
        <v>235000</v>
      </c>
      <c r="G12" s="20">
        <v>10000</v>
      </c>
    </row>
    <row r="13" spans="2:7" ht="24" customHeight="1" x14ac:dyDescent="0.4">
      <c r="B13" s="16" t="s">
        <v>28</v>
      </c>
      <c r="C13" s="17">
        <v>46231</v>
      </c>
      <c r="D13" s="18" t="s">
        <v>38</v>
      </c>
      <c r="E13" s="16">
        <v>24</v>
      </c>
      <c r="F13" s="19">
        <v>912000</v>
      </c>
      <c r="G13" s="20">
        <v>24000</v>
      </c>
    </row>
    <row r="14" spans="2:7" ht="24" customHeight="1" x14ac:dyDescent="0.4">
      <c r="B14" s="21" t="s">
        <v>39</v>
      </c>
      <c r="C14" s="22">
        <v>46233</v>
      </c>
      <c r="D14" s="23" t="s">
        <v>40</v>
      </c>
      <c r="E14" s="21">
        <v>16</v>
      </c>
      <c r="F14" s="24">
        <v>352000</v>
      </c>
      <c r="G14" s="25">
        <v>16000</v>
      </c>
    </row>
    <row r="15" spans="2:7" ht="18.75" x14ac:dyDescent="0.4"/>
  </sheetData>
  <mergeCells count="2">
    <mergeCell ref="B2:G2"/>
    <mergeCell ref="B5:G5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workbookViewId="0">
      <selection sqref="A1:O1"/>
    </sheetView>
  </sheetViews>
  <sheetFormatPr defaultRowHeight="22.5" customHeight="1" x14ac:dyDescent="0.4"/>
  <cols>
    <col min="1" max="1" width="10" style="1" customWidth="1"/>
    <col min="2" max="13" width="7.5" style="1" customWidth="1"/>
    <col min="14" max="14" width="11.5" style="1" customWidth="1"/>
    <col min="15" max="15" width="12.375" style="1" customWidth="1"/>
    <col min="16" max="16384" width="9" style="1"/>
  </cols>
  <sheetData>
    <row r="1" spans="1:15" ht="32.25" customHeight="1" x14ac:dyDescent="0.4">
      <c r="A1" s="55" t="s">
        <v>53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21" customHeight="1" x14ac:dyDescent="0.4"/>
    <row r="3" spans="1:15" ht="21" customHeight="1" x14ac:dyDescent="0.4">
      <c r="A3" s="2"/>
      <c r="B3" s="2"/>
      <c r="C3" s="2"/>
      <c r="D3" s="2"/>
      <c r="E3" s="2"/>
      <c r="F3" s="2"/>
      <c r="G3" s="2"/>
      <c r="H3" s="2"/>
      <c r="I3" s="2"/>
    </row>
    <row r="4" spans="1:15" s="26" customFormat="1" ht="22.5" customHeight="1" x14ac:dyDescent="0.4">
      <c r="A4" s="34" t="s">
        <v>41</v>
      </c>
      <c r="B4" s="34" t="s">
        <v>42</v>
      </c>
      <c r="C4" s="34" t="s">
        <v>43</v>
      </c>
      <c r="D4" s="34" t="s">
        <v>44</v>
      </c>
      <c r="E4" s="34" t="s">
        <v>4</v>
      </c>
      <c r="F4" s="34" t="s">
        <v>5</v>
      </c>
      <c r="G4" s="34" t="s">
        <v>6</v>
      </c>
      <c r="H4" s="34" t="s">
        <v>7</v>
      </c>
      <c r="I4" s="34" t="s">
        <v>8</v>
      </c>
      <c r="J4" s="34" t="s">
        <v>9</v>
      </c>
      <c r="K4" s="34" t="s">
        <v>49</v>
      </c>
      <c r="L4" s="34" t="s">
        <v>50</v>
      </c>
      <c r="M4" s="34" t="s">
        <v>51</v>
      </c>
      <c r="N4" s="34" t="s">
        <v>45</v>
      </c>
      <c r="O4" s="34" t="s">
        <v>57</v>
      </c>
    </row>
    <row r="5" spans="1:15" ht="22.5" customHeight="1" x14ac:dyDescent="0.4">
      <c r="A5" s="35" t="s">
        <v>1</v>
      </c>
      <c r="B5" s="36">
        <v>420</v>
      </c>
      <c r="C5" s="36">
        <v>610</v>
      </c>
      <c r="D5" s="36">
        <v>580</v>
      </c>
      <c r="E5" s="36">
        <v>920</v>
      </c>
      <c r="F5" s="37">
        <v>1640</v>
      </c>
      <c r="G5" s="36">
        <v>890</v>
      </c>
      <c r="H5" s="36">
        <v>780</v>
      </c>
      <c r="I5" s="36">
        <v>860</v>
      </c>
      <c r="J5" s="37">
        <v>1180</v>
      </c>
      <c r="K5" s="37">
        <v>1260</v>
      </c>
      <c r="L5" s="36">
        <v>980</v>
      </c>
      <c r="M5" s="37">
        <v>1420</v>
      </c>
      <c r="N5" s="37">
        <v>11540</v>
      </c>
      <c r="O5" s="38">
        <v>11</v>
      </c>
    </row>
    <row r="6" spans="1:15" ht="22.5" customHeight="1" x14ac:dyDescent="0.4">
      <c r="A6" s="39" t="s">
        <v>2</v>
      </c>
      <c r="B6" s="40">
        <v>560</v>
      </c>
      <c r="C6" s="40">
        <v>780</v>
      </c>
      <c r="D6" s="40">
        <v>690</v>
      </c>
      <c r="E6" s="41">
        <v>1120</v>
      </c>
      <c r="F6" s="41">
        <v>1850</v>
      </c>
      <c r="G6" s="40">
        <v>980</v>
      </c>
      <c r="H6" s="40">
        <v>840</v>
      </c>
      <c r="I6" s="40">
        <v>920</v>
      </c>
      <c r="J6" s="41">
        <v>1360</v>
      </c>
      <c r="K6" s="41">
        <v>1580</v>
      </c>
      <c r="L6" s="41">
        <v>580</v>
      </c>
      <c r="M6" s="41">
        <v>1460</v>
      </c>
      <c r="N6" s="41">
        <v>13360</v>
      </c>
      <c r="O6" s="42">
        <v>7</v>
      </c>
    </row>
    <row r="7" spans="1:15" ht="22.5" customHeight="1" x14ac:dyDescent="0.4">
      <c r="A7" s="39" t="s">
        <v>46</v>
      </c>
      <c r="B7" s="40">
        <v>350</v>
      </c>
      <c r="C7" s="40">
        <v>470</v>
      </c>
      <c r="D7" s="40">
        <v>520</v>
      </c>
      <c r="E7" s="40">
        <v>690</v>
      </c>
      <c r="F7" s="40">
        <v>810</v>
      </c>
      <c r="G7" s="40">
        <v>640</v>
      </c>
      <c r="H7" s="40">
        <v>720</v>
      </c>
      <c r="I7" s="40">
        <v>810</v>
      </c>
      <c r="J7" s="40">
        <v>960</v>
      </c>
      <c r="K7" s="41">
        <v>1040</v>
      </c>
      <c r="L7" s="40">
        <v>860</v>
      </c>
      <c r="M7" s="40">
        <v>990</v>
      </c>
      <c r="N7" s="41">
        <v>8860</v>
      </c>
      <c r="O7" s="42">
        <v>23</v>
      </c>
    </row>
    <row r="8" spans="1:15" ht="22.5" customHeight="1" x14ac:dyDescent="0.4">
      <c r="A8" s="39" t="s">
        <v>3</v>
      </c>
      <c r="B8" s="40">
        <v>880</v>
      </c>
      <c r="C8" s="41">
        <v>1120</v>
      </c>
      <c r="D8" s="40">
        <v>980</v>
      </c>
      <c r="E8" s="41">
        <v>1460</v>
      </c>
      <c r="F8" s="41">
        <v>1680</v>
      </c>
      <c r="G8" s="41">
        <v>1390</v>
      </c>
      <c r="H8" s="41">
        <v>1240</v>
      </c>
      <c r="I8" s="41">
        <v>1320</v>
      </c>
      <c r="J8" s="41">
        <v>1580</v>
      </c>
      <c r="K8" s="41">
        <v>1740</v>
      </c>
      <c r="L8" s="41">
        <v>1460</v>
      </c>
      <c r="M8" s="41">
        <v>1680</v>
      </c>
      <c r="N8" s="41">
        <v>16530</v>
      </c>
      <c r="O8" s="42">
        <v>18</v>
      </c>
    </row>
    <row r="9" spans="1:15" ht="22.5" customHeight="1" x14ac:dyDescent="0.4">
      <c r="A9" s="39" t="s">
        <v>47</v>
      </c>
      <c r="B9" s="40">
        <v>290</v>
      </c>
      <c r="C9" s="40">
        <v>340</v>
      </c>
      <c r="D9" s="40">
        <v>420</v>
      </c>
      <c r="E9" s="40">
        <v>560</v>
      </c>
      <c r="F9" s="40">
        <v>730</v>
      </c>
      <c r="G9" s="40">
        <v>510</v>
      </c>
      <c r="H9" s="40">
        <v>480</v>
      </c>
      <c r="I9" s="40">
        <v>560</v>
      </c>
      <c r="J9" s="40">
        <v>720</v>
      </c>
      <c r="K9" s="40">
        <v>810</v>
      </c>
      <c r="L9" s="40">
        <v>690</v>
      </c>
      <c r="M9" s="40">
        <v>850</v>
      </c>
      <c r="N9" s="41">
        <v>6960</v>
      </c>
      <c r="O9" s="43">
        <v>-55</v>
      </c>
    </row>
    <row r="10" spans="1:15" ht="22.5" customHeight="1" x14ac:dyDescent="0.4">
      <c r="A10" s="44" t="s">
        <v>48</v>
      </c>
      <c r="B10" s="45">
        <v>1020</v>
      </c>
      <c r="C10" s="45">
        <v>1240</v>
      </c>
      <c r="D10" s="45">
        <v>1380</v>
      </c>
      <c r="E10" s="45">
        <v>1720</v>
      </c>
      <c r="F10" s="45">
        <v>1980</v>
      </c>
      <c r="G10" s="45">
        <v>1650</v>
      </c>
      <c r="H10" s="45">
        <v>1540</v>
      </c>
      <c r="I10" s="45">
        <v>1680</v>
      </c>
      <c r="J10" s="45">
        <v>2120</v>
      </c>
      <c r="K10" s="45">
        <v>2360</v>
      </c>
      <c r="L10" s="45">
        <v>2040</v>
      </c>
      <c r="M10" s="45">
        <v>2280</v>
      </c>
      <c r="N10" s="45">
        <v>21010</v>
      </c>
      <c r="O10" s="46">
        <v>12</v>
      </c>
    </row>
  </sheetData>
  <mergeCells count="1">
    <mergeCell ref="A1:O1"/>
  </mergeCells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予約集計報告</vt:lpstr>
      <vt:lpstr>航空券明細</vt:lpstr>
      <vt:lpstr>旅行年間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</cp:lastModifiedBy>
  <cp:lastPrinted>2026-07-07T13:35:41Z</cp:lastPrinted>
  <dcterms:created xsi:type="dcterms:W3CDTF">2026-06-25T05:03:56Z</dcterms:created>
  <dcterms:modified xsi:type="dcterms:W3CDTF">2026-07-08T00:55:30Z</dcterms:modified>
</cp:coreProperties>
</file>