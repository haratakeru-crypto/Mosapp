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7\"/>
    </mc:Choice>
  </mc:AlternateContent>
  <xr:revisionPtr revIDLastSave="0" documentId="13_ncr:1_{FED5A1FB-5E04-489A-8265-2EE37947F0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生産集計報告" sheetId="2" r:id="rId1"/>
    <sheet name="部品発注明細" sheetId="3" r:id="rId2"/>
    <sheet name="工場上半期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4" i="2"/>
  <c r="E10" i="2" s="1"/>
  <c r="B10" i="2"/>
  <c r="C10" i="2"/>
  <c r="D10" i="2"/>
</calcChain>
</file>

<file path=xl/sharedStrings.xml><?xml version="1.0" encoding="utf-8"?>
<sst xmlns="http://schemas.openxmlformats.org/spreadsheetml/2006/main" count="55" uniqueCount="55">
  <si>
    <t>生産数</t>
  </si>
  <si>
    <t>売上</t>
  </si>
  <si>
    <t>7月</t>
  </si>
  <si>
    <t>8月</t>
  </si>
  <si>
    <t>9月</t>
  </si>
  <si>
    <t>ラインA</t>
  </si>
  <si>
    <t>ラインB</t>
  </si>
  <si>
    <t>ラインC</t>
  </si>
  <si>
    <t>ラインD</t>
  </si>
  <si>
    <t>ラインE</t>
  </si>
  <si>
    <t>ラインF</t>
  </si>
  <si>
    <t>4月</t>
  </si>
  <si>
    <t>5月</t>
  </si>
  <si>
    <t>6月</t>
  </si>
  <si>
    <t>生産ライン</t>
  </si>
  <si>
    <t>製造原価</t>
  </si>
  <si>
    <t>利益</t>
  </si>
  <si>
    <t>合計</t>
  </si>
  <si>
    <t>工場</t>
  </si>
  <si>
    <t>年間合計</t>
  </si>
  <si>
    <t>生産増減</t>
  </si>
  <si>
    <t>第1工場</t>
  </si>
  <si>
    <t>第2工場</t>
  </si>
  <si>
    <t>第3工場</t>
  </si>
  <si>
    <t>第4工場</t>
  </si>
  <si>
    <t>第5工場</t>
  </si>
  <si>
    <t>第6工場</t>
  </si>
  <si>
    <t>生産ライン別実績</t>
    <phoneticPr fontId="3"/>
  </si>
  <si>
    <t>月別生産増減</t>
    <rPh sb="4" eb="6">
      <t>ゾウゲン</t>
    </rPh>
    <phoneticPr fontId="3"/>
  </si>
  <si>
    <t>部品名</t>
  </si>
  <si>
    <t>発注数</t>
  </si>
  <si>
    <t>入荷数</t>
  </si>
  <si>
    <t>使用数</t>
  </si>
  <si>
    <t>在庫増減</t>
  </si>
  <si>
    <t>部品在庫一覧</t>
    <phoneticPr fontId="3"/>
  </si>
  <si>
    <t>ギア</t>
  </si>
  <si>
    <t>シャフト</t>
  </si>
  <si>
    <t>ワッシャー</t>
  </si>
  <si>
    <t>スプロケット</t>
  </si>
  <si>
    <t>プーリー</t>
  </si>
  <si>
    <t>コネクタ</t>
  </si>
  <si>
    <t>ケーブル</t>
  </si>
  <si>
    <t>リレー</t>
  </si>
  <si>
    <t>スイッチ</t>
  </si>
  <si>
    <t>ヒューズ</t>
  </si>
  <si>
    <t>バネ</t>
  </si>
  <si>
    <t>ピン</t>
  </si>
  <si>
    <t>パッキン</t>
  </si>
  <si>
    <t>ファン</t>
  </si>
  <si>
    <t>コンデンサ</t>
  </si>
  <si>
    <t>抵抗器</t>
  </si>
  <si>
    <t>トランス</t>
  </si>
  <si>
    <t>電源ユニット</t>
  </si>
  <si>
    <t>制御盤</t>
  </si>
  <si>
    <t>エアシリンダ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</si>
</sst>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0_);\(#,##0\)"/>
  </numFmts>
  <fonts count="12" x14ac:knownFonts="1">
    <font>
      <sz val="11"/>
      <color theme="1"/>
      <name val="メイリオ"/>
      <family val="2"/>
      <scheme val="minor"/>
    </font>
    <font>
      <sz val="11"/>
      <color theme="1"/>
      <name val="メイリオ"/>
      <family val="2"/>
      <scheme val="minor"/>
    </font>
    <font>
      <b/>
      <sz val="15"/>
      <color theme="3"/>
      <name val="メイリオ"/>
      <family val="2"/>
      <charset val="128"/>
      <scheme val="minor"/>
    </font>
    <font>
      <sz val="6"/>
      <name val="メイリオ"/>
      <family val="3"/>
      <charset val="128"/>
      <scheme val="minor"/>
    </font>
    <font>
      <sz val="11"/>
      <color theme="1"/>
      <name val="メイリオ"/>
      <family val="3"/>
      <charset val="128"/>
      <scheme val="minor"/>
    </font>
    <font>
      <sz val="11"/>
      <color indexed="8"/>
      <name val="メイリオ"/>
      <family val="3"/>
      <charset val="128"/>
      <scheme val="minor"/>
    </font>
    <font>
      <b/>
      <sz val="11"/>
      <color theme="0"/>
      <name val="メイリオ"/>
      <family val="3"/>
      <charset val="128"/>
      <scheme val="minor"/>
    </font>
    <font>
      <b/>
      <sz val="16"/>
      <name val="メイリオ"/>
      <family val="3"/>
      <charset val="128"/>
      <scheme val="minor"/>
    </font>
    <font>
      <b/>
      <sz val="15"/>
      <name val="メイリオ"/>
      <family val="3"/>
      <charset val="128"/>
      <scheme val="minor"/>
    </font>
    <font>
      <b/>
      <sz val="12"/>
      <color theme="3"/>
      <name val="メイリオ"/>
      <family val="3"/>
      <charset val="128"/>
      <scheme val="minor"/>
    </font>
    <font>
      <sz val="12"/>
      <color theme="1"/>
      <name val="メイリオ"/>
      <family val="3"/>
      <charset val="128"/>
      <scheme val="minor"/>
    </font>
    <font>
      <b/>
      <sz val="11"/>
      <color theme="3"/>
      <name val="メイリオ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33">
    <xf numFmtId="0" fontId="0" fillId="0" borderId="0" xfId="0"/>
    <xf numFmtId="0" fontId="0" fillId="0" borderId="0" xfId="0" applyAlignment="1">
      <alignment vertical="center"/>
    </xf>
    <xf numFmtId="0" fontId="2" fillId="0" borderId="1" xfId="1" applyAlignment="1"/>
    <xf numFmtId="0" fontId="2" fillId="0" borderId="1" xfId="1" applyAlignment="1">
      <alignment horizontal="center" vertical="center"/>
    </xf>
    <xf numFmtId="0" fontId="2" fillId="0" borderId="1" xfId="1" applyAlignment="1">
      <alignment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3" fontId="0" fillId="0" borderId="7" xfId="0" applyNumberFormat="1" applyBorder="1" applyAlignment="1">
      <alignment vertical="center" wrapText="1"/>
    </xf>
    <xf numFmtId="3" fontId="0" fillId="0" borderId="8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3" fontId="0" fillId="0" borderId="4" xfId="0" applyNumberFormat="1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7" fillId="7" borderId="1" xfId="1" applyFont="1" applyFill="1" applyAlignment="1">
      <alignment vertical="center"/>
    </xf>
    <xf numFmtId="0" fontId="8" fillId="7" borderId="1" xfId="1" applyFont="1" applyFill="1" applyAlignment="1">
      <alignment vertical="center"/>
    </xf>
    <xf numFmtId="0" fontId="9" fillId="6" borderId="1" xfId="1" applyFont="1" applyFill="1" applyAlignment="1">
      <alignment horizontal="center" vertical="center" wrapText="1"/>
    </xf>
    <xf numFmtId="3" fontId="9" fillId="6" borderId="1" xfId="1" applyNumberFormat="1" applyFont="1" applyFill="1" applyAlignment="1">
      <alignment horizontal="center" vertical="center" wrapText="1"/>
    </xf>
    <xf numFmtId="0" fontId="9" fillId="6" borderId="1" xfId="1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176" fontId="4" fillId="0" borderId="11" xfId="0" applyNumberFormat="1" applyFont="1" applyBorder="1" applyAlignment="1">
      <alignment vertical="center"/>
    </xf>
    <xf numFmtId="0" fontId="0" fillId="0" borderId="10" xfId="0" applyBorder="1" applyAlignment="1">
      <alignment vertical="center" wrapText="1"/>
    </xf>
    <xf numFmtId="3" fontId="5" fillId="0" borderId="10" xfId="0" applyNumberFormat="1" applyFon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11" fillId="8" borderId="10" xfId="0" applyFont="1" applyFill="1" applyBorder="1" applyAlignment="1">
      <alignment horizontal="center" vertical="center" wrapText="1"/>
    </xf>
    <xf numFmtId="177" fontId="4" fillId="0" borderId="11" xfId="0" applyNumberFormat="1" applyFont="1" applyBorder="1" applyAlignment="1">
      <alignment vertical="center" wrapText="1"/>
    </xf>
    <xf numFmtId="177" fontId="5" fillId="0" borderId="11" xfId="0" applyNumberFormat="1" applyFont="1" applyBorder="1" applyAlignment="1">
      <alignment vertical="center" wrapText="1"/>
    </xf>
    <xf numFmtId="177" fontId="4" fillId="0" borderId="11" xfId="0" applyNumberFormat="1" applyFont="1" applyBorder="1" applyAlignment="1">
      <alignment vertical="center"/>
    </xf>
    <xf numFmtId="0" fontId="2" fillId="5" borderId="9" xfId="2" applyFont="1" applyFill="1" applyBorder="1" applyAlignment="1">
      <alignment horizontal="center" vertical="center"/>
    </xf>
  </cellXfs>
  <cellStyles count="3">
    <cellStyle name="メモ" xfId="2" builtinId="10"/>
    <cellStyle name="見出し 1" xfId="1" builtinId="1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zoomScaleNormal="100" workbookViewId="0"/>
  </sheetViews>
  <sheetFormatPr defaultRowHeight="22.5" customHeight="1" x14ac:dyDescent="0.45"/>
  <cols>
    <col min="1" max="1" width="17.33203125" style="1" customWidth="1"/>
    <col min="2" max="5" width="14" style="1" customWidth="1"/>
    <col min="6" max="16384" width="8.88671875" style="1"/>
  </cols>
  <sheetData>
    <row r="1" spans="1:5" ht="31.5" customHeight="1" thickBot="1" x14ac:dyDescent="0.6">
      <c r="A1" s="2" t="s">
        <v>27</v>
      </c>
      <c r="B1" s="3"/>
      <c r="C1" s="3"/>
      <c r="D1" s="4"/>
      <c r="E1" s="4"/>
    </row>
    <row r="2" spans="1:5" customFormat="1" ht="19.5" thickTop="1" x14ac:dyDescent="0.45"/>
    <row r="3" spans="1:5" ht="22.5" customHeight="1" x14ac:dyDescent="0.45">
      <c r="A3" s="5" t="s">
        <v>14</v>
      </c>
      <c r="B3" s="6" t="s">
        <v>0</v>
      </c>
      <c r="C3" s="6" t="s">
        <v>1</v>
      </c>
      <c r="D3" s="6" t="s">
        <v>15</v>
      </c>
      <c r="E3" s="7" t="s">
        <v>16</v>
      </c>
    </row>
    <row r="4" spans="1:5" ht="22.5" customHeight="1" x14ac:dyDescent="0.45">
      <c r="A4" s="8" t="s">
        <v>5</v>
      </c>
      <c r="B4" s="9">
        <v>1250</v>
      </c>
      <c r="C4" s="9">
        <v>2480000</v>
      </c>
      <c r="D4" s="9">
        <v>2210000</v>
      </c>
      <c r="E4" s="10">
        <f>C4-D4</f>
        <v>270000</v>
      </c>
    </row>
    <row r="5" spans="1:5" ht="22.5" customHeight="1" x14ac:dyDescent="0.45">
      <c r="A5" s="8" t="s">
        <v>6</v>
      </c>
      <c r="B5" s="11">
        <v>980</v>
      </c>
      <c r="C5" s="9">
        <v>1965000</v>
      </c>
      <c r="D5" s="9">
        <v>2041000</v>
      </c>
      <c r="E5" s="10">
        <f t="shared" ref="E5:E9" si="0">C5-D5</f>
        <v>-76000</v>
      </c>
    </row>
    <row r="6" spans="1:5" ht="22.5" customHeight="1" x14ac:dyDescent="0.45">
      <c r="A6" s="8" t="s">
        <v>7</v>
      </c>
      <c r="B6" s="9">
        <v>1460</v>
      </c>
      <c r="C6" s="9">
        <v>2895000</v>
      </c>
      <c r="D6" s="9">
        <v>2641000</v>
      </c>
      <c r="E6" s="10">
        <f t="shared" si="0"/>
        <v>254000</v>
      </c>
    </row>
    <row r="7" spans="1:5" ht="22.5" customHeight="1" x14ac:dyDescent="0.45">
      <c r="A7" s="8" t="s">
        <v>8</v>
      </c>
      <c r="B7" s="11">
        <v>720</v>
      </c>
      <c r="C7" s="9">
        <v>1488000</v>
      </c>
      <c r="D7" s="9">
        <v>1536000</v>
      </c>
      <c r="E7" s="10">
        <f t="shared" si="0"/>
        <v>-48000</v>
      </c>
    </row>
    <row r="8" spans="1:5" ht="22.5" customHeight="1" x14ac:dyDescent="0.45">
      <c r="A8" s="8" t="s">
        <v>9</v>
      </c>
      <c r="B8" s="9">
        <v>1130</v>
      </c>
      <c r="C8" s="9">
        <v>2214000</v>
      </c>
      <c r="D8" s="9">
        <v>2082000</v>
      </c>
      <c r="E8" s="10">
        <f t="shared" si="0"/>
        <v>132000</v>
      </c>
    </row>
    <row r="9" spans="1:5" ht="22.5" customHeight="1" x14ac:dyDescent="0.45">
      <c r="A9" s="8" t="s">
        <v>10</v>
      </c>
      <c r="B9" s="11">
        <v>860</v>
      </c>
      <c r="C9" s="9">
        <v>1742000</v>
      </c>
      <c r="D9" s="9">
        <v>1705000</v>
      </c>
      <c r="E9" s="10">
        <f t="shared" si="0"/>
        <v>37000</v>
      </c>
    </row>
    <row r="10" spans="1:5" ht="22.5" customHeight="1" x14ac:dyDescent="0.45">
      <c r="A10" s="14" t="s">
        <v>17</v>
      </c>
      <c r="B10" s="12">
        <f t="shared" ref="B10:E10" si="1">SUM(B4:B9)</f>
        <v>6400</v>
      </c>
      <c r="C10" s="12">
        <f t="shared" si="1"/>
        <v>12784000</v>
      </c>
      <c r="D10" s="12">
        <f t="shared" si="1"/>
        <v>12215000</v>
      </c>
      <c r="E10" s="13">
        <f t="shared" si="1"/>
        <v>569000</v>
      </c>
    </row>
  </sheetData>
  <phoneticPr fontId="3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topLeftCell="A2" zoomScaleNormal="100" workbookViewId="0"/>
  </sheetViews>
  <sheetFormatPr defaultRowHeight="22.5" customHeight="1" x14ac:dyDescent="0.45"/>
  <cols>
    <col min="1" max="1" width="17.33203125" style="1" customWidth="1"/>
    <col min="2" max="5" width="14" style="1" customWidth="1"/>
    <col min="6" max="16384" width="8.88671875" style="1"/>
  </cols>
  <sheetData>
    <row r="1" spans="1:5" ht="18" customHeight="1" x14ac:dyDescent="0.45"/>
    <row r="2" spans="1:5" ht="33.75" customHeight="1" x14ac:dyDescent="0.45">
      <c r="A2" s="32" t="s">
        <v>34</v>
      </c>
      <c r="B2" s="32"/>
      <c r="C2" s="32"/>
      <c r="D2" s="32"/>
      <c r="E2" s="32"/>
    </row>
    <row r="3" spans="1:5" customFormat="1" ht="18.75" x14ac:dyDescent="0.45"/>
    <row r="4" spans="1:5" ht="22.5" customHeight="1" x14ac:dyDescent="0.45">
      <c r="A4" s="28" t="s">
        <v>29</v>
      </c>
      <c r="B4" s="28" t="s">
        <v>30</v>
      </c>
      <c r="C4" s="28" t="s">
        <v>31</v>
      </c>
      <c r="D4" s="28" t="s">
        <v>32</v>
      </c>
      <c r="E4" s="28" t="s">
        <v>33</v>
      </c>
    </row>
    <row r="5" spans="1:5" ht="22.5" customHeight="1" x14ac:dyDescent="0.45">
      <c r="A5" s="27" t="s">
        <v>50</v>
      </c>
      <c r="B5" s="27">
        <v>980</v>
      </c>
      <c r="C5" s="27">
        <v>980</v>
      </c>
      <c r="D5" s="27">
        <v>965</v>
      </c>
      <c r="E5" s="27">
        <v>15</v>
      </c>
    </row>
    <row r="6" spans="1:5" ht="22.5" customHeight="1" x14ac:dyDescent="0.45">
      <c r="A6" s="25" t="s">
        <v>37</v>
      </c>
      <c r="B6" s="15">
        <v>900</v>
      </c>
      <c r="C6" s="15">
        <v>895</v>
      </c>
      <c r="D6" s="15">
        <v>910</v>
      </c>
      <c r="E6" s="26">
        <v>-15</v>
      </c>
    </row>
    <row r="7" spans="1:5" ht="22.5" customHeight="1" x14ac:dyDescent="0.45">
      <c r="A7" s="27" t="s">
        <v>54</v>
      </c>
      <c r="B7" s="27">
        <v>130</v>
      </c>
      <c r="C7" s="27">
        <v>128</v>
      </c>
      <c r="D7" s="27">
        <v>730</v>
      </c>
      <c r="E7" s="27">
        <v>3</v>
      </c>
    </row>
    <row r="8" spans="1:5" ht="22.5" customHeight="1" x14ac:dyDescent="0.45">
      <c r="A8" s="27" t="s">
        <v>46</v>
      </c>
      <c r="B8" s="27">
        <v>680</v>
      </c>
      <c r="C8" s="27">
        <v>678</v>
      </c>
      <c r="D8" s="27">
        <v>690</v>
      </c>
      <c r="E8" s="27">
        <v>-12</v>
      </c>
    </row>
    <row r="9" spans="1:5" ht="22.5" customHeight="1" x14ac:dyDescent="0.45">
      <c r="A9" s="25" t="s">
        <v>40</v>
      </c>
      <c r="B9" s="25">
        <v>600</v>
      </c>
      <c r="C9" s="15">
        <v>598</v>
      </c>
      <c r="D9" s="15">
        <v>590</v>
      </c>
      <c r="E9" s="26">
        <v>8</v>
      </c>
    </row>
    <row r="10" spans="1:5" ht="22.5" customHeight="1" x14ac:dyDescent="0.45">
      <c r="A10" s="27" t="s">
        <v>45</v>
      </c>
      <c r="B10" s="27">
        <v>520</v>
      </c>
      <c r="C10" s="27">
        <v>520</v>
      </c>
      <c r="D10" s="27">
        <v>510</v>
      </c>
      <c r="E10" s="27">
        <v>10</v>
      </c>
    </row>
    <row r="11" spans="1:5" ht="22.5" customHeight="1" x14ac:dyDescent="0.45">
      <c r="A11" s="27" t="s">
        <v>44</v>
      </c>
      <c r="B11" s="27">
        <v>450</v>
      </c>
      <c r="C11" s="27">
        <v>448</v>
      </c>
      <c r="D11" s="27">
        <v>440</v>
      </c>
      <c r="E11" s="27">
        <v>8</v>
      </c>
    </row>
    <row r="12" spans="1:5" ht="22.5" customHeight="1" x14ac:dyDescent="0.45">
      <c r="A12" s="27" t="s">
        <v>49</v>
      </c>
      <c r="B12" s="27">
        <v>410</v>
      </c>
      <c r="C12" s="27">
        <v>408</v>
      </c>
      <c r="D12" s="27">
        <v>400</v>
      </c>
      <c r="E12" s="27">
        <v>8</v>
      </c>
    </row>
    <row r="13" spans="1:5" ht="22.5" customHeight="1" x14ac:dyDescent="0.45">
      <c r="A13" s="25" t="s">
        <v>35</v>
      </c>
      <c r="B13" s="15">
        <v>350</v>
      </c>
      <c r="C13" s="15">
        <v>348</v>
      </c>
      <c r="D13" s="15">
        <v>340</v>
      </c>
      <c r="E13" s="26">
        <v>8</v>
      </c>
    </row>
    <row r="14" spans="1:5" ht="22.5" customHeight="1" x14ac:dyDescent="0.45">
      <c r="A14" s="27" t="s">
        <v>43</v>
      </c>
      <c r="B14" s="27">
        <v>310</v>
      </c>
      <c r="C14" s="27">
        <v>310</v>
      </c>
      <c r="D14" s="27">
        <v>302</v>
      </c>
      <c r="E14" s="27">
        <v>8</v>
      </c>
    </row>
    <row r="15" spans="1:5" ht="22.5" customHeight="1" x14ac:dyDescent="0.45">
      <c r="A15" s="27" t="s">
        <v>47</v>
      </c>
      <c r="B15" s="27">
        <v>300</v>
      </c>
      <c r="C15" s="27">
        <v>300</v>
      </c>
      <c r="D15" s="27">
        <v>288</v>
      </c>
      <c r="E15" s="27">
        <v>12</v>
      </c>
    </row>
    <row r="16" spans="1:5" ht="22.5" customHeight="1" x14ac:dyDescent="0.45">
      <c r="A16" s="25" t="s">
        <v>36</v>
      </c>
      <c r="B16" s="15">
        <v>260</v>
      </c>
      <c r="C16" s="15">
        <v>260</v>
      </c>
      <c r="D16" s="15">
        <v>255</v>
      </c>
      <c r="E16" s="15">
        <v>5</v>
      </c>
    </row>
    <row r="17" spans="1:5" ht="22.5" customHeight="1" x14ac:dyDescent="0.45">
      <c r="A17" s="27" t="s">
        <v>42</v>
      </c>
      <c r="B17" s="27">
        <v>220</v>
      </c>
      <c r="C17" s="27">
        <v>218</v>
      </c>
      <c r="D17" s="27">
        <v>225</v>
      </c>
      <c r="E17" s="27">
        <v>-7</v>
      </c>
    </row>
    <row r="18" spans="1:5" ht="22.5" customHeight="1" x14ac:dyDescent="0.45">
      <c r="A18" s="25" t="s">
        <v>39</v>
      </c>
      <c r="B18" s="25">
        <v>180</v>
      </c>
      <c r="C18" s="15">
        <v>178</v>
      </c>
      <c r="D18" s="15">
        <v>175</v>
      </c>
      <c r="E18" s="26">
        <v>3</v>
      </c>
    </row>
    <row r="19" spans="1:5" ht="22.5" customHeight="1" x14ac:dyDescent="0.45">
      <c r="A19" s="27" t="s">
        <v>48</v>
      </c>
      <c r="B19" s="27">
        <v>160</v>
      </c>
      <c r="C19" s="27">
        <v>158</v>
      </c>
      <c r="D19" s="27">
        <v>155</v>
      </c>
      <c r="E19" s="27">
        <v>3</v>
      </c>
    </row>
    <row r="20" spans="1:5" ht="22.5" customHeight="1" x14ac:dyDescent="0.45">
      <c r="A20" s="25" t="s">
        <v>38</v>
      </c>
      <c r="B20" s="15">
        <v>140</v>
      </c>
      <c r="C20" s="15">
        <v>140</v>
      </c>
      <c r="D20" s="15">
        <v>132</v>
      </c>
      <c r="E20" s="26">
        <v>8</v>
      </c>
    </row>
    <row r="21" spans="1:5" ht="22.5" customHeight="1" x14ac:dyDescent="0.45">
      <c r="A21" s="27" t="s">
        <v>41</v>
      </c>
      <c r="B21" s="27">
        <v>750</v>
      </c>
      <c r="C21" s="27">
        <v>750</v>
      </c>
      <c r="D21" s="27">
        <v>125</v>
      </c>
      <c r="E21" s="27">
        <v>20</v>
      </c>
    </row>
    <row r="22" spans="1:5" ht="22.5" customHeight="1" x14ac:dyDescent="0.45">
      <c r="A22" s="27" t="s">
        <v>51</v>
      </c>
      <c r="B22" s="27">
        <v>95</v>
      </c>
      <c r="C22" s="27">
        <v>95</v>
      </c>
      <c r="D22" s="27">
        <v>90</v>
      </c>
      <c r="E22" s="27">
        <v>5</v>
      </c>
    </row>
    <row r="23" spans="1:5" ht="22.5" customHeight="1" x14ac:dyDescent="0.45">
      <c r="A23" s="27" t="s">
        <v>52</v>
      </c>
      <c r="B23" s="27">
        <v>85</v>
      </c>
      <c r="C23" s="27">
        <v>84</v>
      </c>
      <c r="D23" s="27">
        <v>88</v>
      </c>
      <c r="E23" s="27">
        <v>-4</v>
      </c>
    </row>
    <row r="24" spans="1:5" ht="22.5" customHeight="1" x14ac:dyDescent="0.45">
      <c r="A24" s="27" t="s">
        <v>53</v>
      </c>
      <c r="B24" s="27">
        <v>60</v>
      </c>
      <c r="C24" s="27">
        <v>60</v>
      </c>
      <c r="D24" s="27">
        <v>56</v>
      </c>
      <c r="E24" s="27">
        <v>4</v>
      </c>
    </row>
  </sheetData>
  <mergeCells count="1">
    <mergeCell ref="A2:E2"/>
  </mergeCells>
  <phoneticPr fontId="3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zoomScaleNormal="100" workbookViewId="0">
      <selection activeCell="H9" sqref="H9"/>
    </sheetView>
  </sheetViews>
  <sheetFormatPr defaultRowHeight="22.5" customHeight="1" x14ac:dyDescent="0.45"/>
  <cols>
    <col min="1" max="1" width="17.33203125" style="1" customWidth="1"/>
    <col min="2" max="7" width="11.33203125" style="1" customWidth="1"/>
    <col min="8" max="8" width="12.88671875" style="1" customWidth="1"/>
    <col min="9" max="9" width="11.44140625" style="1" customWidth="1"/>
    <col min="10" max="16384" width="8.88671875" style="1"/>
  </cols>
  <sheetData>
    <row r="1" spans="1:9" ht="18" customHeight="1" x14ac:dyDescent="0.45"/>
    <row r="2" spans="1:9" ht="26.25" customHeight="1" thickBot="1" x14ac:dyDescent="0.5">
      <c r="A2" s="18" t="s">
        <v>28</v>
      </c>
      <c r="B2" s="19"/>
      <c r="C2" s="19"/>
      <c r="D2" s="19"/>
      <c r="E2" s="19"/>
      <c r="F2" s="19"/>
      <c r="G2" s="19"/>
      <c r="H2" s="19"/>
      <c r="I2" s="19"/>
    </row>
    <row r="3" spans="1:9" ht="15" customHeight="1" thickTop="1" x14ac:dyDescent="0.45">
      <c r="A3"/>
      <c r="B3"/>
      <c r="C3"/>
      <c r="D3"/>
      <c r="E3"/>
      <c r="F3"/>
      <c r="G3"/>
      <c r="H3"/>
      <c r="I3"/>
    </row>
    <row r="4" spans="1:9" s="23" customFormat="1" ht="22.5" customHeight="1" thickBot="1" x14ac:dyDescent="0.5">
      <c r="A4" s="20" t="s">
        <v>18</v>
      </c>
      <c r="B4" s="20" t="s">
        <v>11</v>
      </c>
      <c r="C4" s="21" t="s">
        <v>12</v>
      </c>
      <c r="D4" s="21" t="s">
        <v>13</v>
      </c>
      <c r="E4" s="21" t="s">
        <v>2</v>
      </c>
      <c r="F4" s="22" t="s">
        <v>3</v>
      </c>
      <c r="G4" s="22" t="s">
        <v>4</v>
      </c>
      <c r="H4" s="22" t="s">
        <v>19</v>
      </c>
      <c r="I4" s="22" t="s">
        <v>20</v>
      </c>
    </row>
    <row r="5" spans="1:9" ht="22.5" customHeight="1" thickTop="1" x14ac:dyDescent="0.45">
      <c r="A5" s="16" t="s">
        <v>21</v>
      </c>
      <c r="B5" s="29">
        <v>1180</v>
      </c>
      <c r="C5" s="29">
        <v>1420</v>
      </c>
      <c r="D5" s="29">
        <v>1250</v>
      </c>
      <c r="E5" s="30">
        <v>1560</v>
      </c>
      <c r="F5" s="31">
        <v>1430</v>
      </c>
      <c r="G5" s="31">
        <v>1670</v>
      </c>
      <c r="H5" s="31">
        <v>8510</v>
      </c>
      <c r="I5" s="31">
        <v>490</v>
      </c>
    </row>
    <row r="6" spans="1:9" ht="22.5" customHeight="1" x14ac:dyDescent="0.45">
      <c r="A6" s="16" t="s">
        <v>22</v>
      </c>
      <c r="B6" s="29">
        <v>1320</v>
      </c>
      <c r="C6" s="29">
        <v>1180</v>
      </c>
      <c r="D6" s="29">
        <v>1260</v>
      </c>
      <c r="E6" s="30">
        <v>1090</v>
      </c>
      <c r="F6" s="31">
        <v>980</v>
      </c>
      <c r="G6" s="31">
        <v>920</v>
      </c>
      <c r="H6" s="31">
        <v>6750</v>
      </c>
      <c r="I6" s="31">
        <v>280</v>
      </c>
    </row>
    <row r="7" spans="1:9" ht="22.5" customHeight="1" x14ac:dyDescent="0.45">
      <c r="A7" s="16" t="s">
        <v>23</v>
      </c>
      <c r="B7" s="29">
        <v>1450</v>
      </c>
      <c r="C7" s="29">
        <v>1520</v>
      </c>
      <c r="D7" s="29">
        <v>1480</v>
      </c>
      <c r="E7" s="30">
        <v>1610</v>
      </c>
      <c r="F7" s="31">
        <v>1570</v>
      </c>
      <c r="G7" s="31">
        <v>1690</v>
      </c>
      <c r="H7" s="31">
        <v>9320</v>
      </c>
      <c r="I7" s="31">
        <v>240</v>
      </c>
    </row>
    <row r="8" spans="1:9" ht="22.5" customHeight="1" x14ac:dyDescent="0.45">
      <c r="A8" s="16" t="s">
        <v>24</v>
      </c>
      <c r="B8" s="29">
        <v>980</v>
      </c>
      <c r="C8" s="29">
        <v>760</v>
      </c>
      <c r="D8" s="29">
        <v>1020</v>
      </c>
      <c r="E8" s="30">
        <v>810</v>
      </c>
      <c r="F8" s="31">
        <v>1140</v>
      </c>
      <c r="G8" s="31">
        <v>930</v>
      </c>
      <c r="H8" s="31">
        <v>5640</v>
      </c>
      <c r="I8" s="31">
        <v>220</v>
      </c>
    </row>
    <row r="9" spans="1:9" ht="22.5" customHeight="1" x14ac:dyDescent="0.45">
      <c r="A9" s="16" t="s">
        <v>25</v>
      </c>
      <c r="B9" s="29">
        <v>1050</v>
      </c>
      <c r="C9" s="29">
        <v>1120</v>
      </c>
      <c r="D9" s="29">
        <v>1210</v>
      </c>
      <c r="E9" s="29">
        <v>1300</v>
      </c>
      <c r="F9" s="31">
        <v>1390</v>
      </c>
      <c r="G9" s="31">
        <v>1470</v>
      </c>
      <c r="H9" s="31">
        <v>7540</v>
      </c>
      <c r="I9" s="24">
        <v>-50</v>
      </c>
    </row>
    <row r="10" spans="1:9" ht="22.5" customHeight="1" x14ac:dyDescent="0.45">
      <c r="A10" s="17" t="s">
        <v>26</v>
      </c>
      <c r="B10" s="31">
        <v>890</v>
      </c>
      <c r="C10" s="31">
        <v>1040</v>
      </c>
      <c r="D10" s="31">
        <v>1580</v>
      </c>
      <c r="E10" s="31">
        <v>1180</v>
      </c>
      <c r="F10" s="31">
        <v>960</v>
      </c>
      <c r="G10" s="31">
        <v>1260</v>
      </c>
      <c r="H10" s="31">
        <v>6260</v>
      </c>
      <c r="I10" s="31">
        <v>370</v>
      </c>
    </row>
  </sheetData>
  <phoneticPr fontId="3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生産集計報告</vt:lpstr>
      <vt:lpstr>部品発注明細</vt:lpstr>
      <vt:lpstr>工場上半期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dcterms:created xsi:type="dcterms:W3CDTF">2026-06-25T05:03:56Z</dcterms:created>
  <dcterms:modified xsi:type="dcterms:W3CDTF">2026-07-08T00:54:21Z</dcterms:modified>
</cp:coreProperties>
</file>