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Project7(未チェック・未提出)\"/>
    </mc:Choice>
  </mc:AlternateContent>
  <xr:revisionPtr revIDLastSave="0" documentId="13_ncr:1_{36C33002-D2E2-4DA5-BD0A-77FCD138C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診療集計報告" sheetId="2" r:id="rId1"/>
    <sheet name="薬品発注明細" sheetId="3" r:id="rId2"/>
    <sheet name="診療集計" sheetId="5" r:id="rId3"/>
    <sheet name="救急外来件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4" i="2"/>
  <c r="E24" i="2"/>
  <c r="D2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4" i="2"/>
  <c r="E5" i="2"/>
  <c r="B10" i="5"/>
  <c r="C10" i="5"/>
  <c r="D10" i="5"/>
  <c r="E10" i="5"/>
  <c r="E5" i="5"/>
  <c r="E6" i="5"/>
  <c r="E7" i="5"/>
  <c r="E8" i="5"/>
  <c r="E9" i="5"/>
  <c r="E4" i="5"/>
  <c r="K5" i="4" l="1"/>
  <c r="K6" i="4"/>
  <c r="K7" i="4"/>
  <c r="K8" i="4"/>
  <c r="K9" i="4"/>
  <c r="K10" i="4"/>
</calcChain>
</file>

<file path=xl/sharedStrings.xml><?xml version="1.0" encoding="utf-8"?>
<sst xmlns="http://schemas.openxmlformats.org/spreadsheetml/2006/main" count="97" uniqueCount="42">
  <si>
    <t>診療集計報告（月次）</t>
  </si>
  <si>
    <t>診療科</t>
  </si>
  <si>
    <t>患者数</t>
  </si>
  <si>
    <t>収益</t>
  </si>
  <si>
    <t>平均単価</t>
  </si>
  <si>
    <t>構成比</t>
  </si>
  <si>
    <t>内科</t>
  </si>
  <si>
    <t>外科</t>
  </si>
  <si>
    <t>小児科</t>
  </si>
  <si>
    <t>整形外科</t>
  </si>
  <si>
    <t>皮膚科</t>
  </si>
  <si>
    <t>発注日</t>
  </si>
  <si>
    <t>薬品名</t>
  </si>
  <si>
    <t>数量</t>
  </si>
  <si>
    <t>単価</t>
  </si>
  <si>
    <t>小計</t>
  </si>
  <si>
    <t>F製剤</t>
  </si>
  <si>
    <t>B製剤</t>
  </si>
  <si>
    <t>E製剤</t>
  </si>
  <si>
    <t>C製剤</t>
  </si>
  <si>
    <t>A製剤</t>
  </si>
  <si>
    <t>D製剤</t>
  </si>
  <si>
    <t>7月</t>
  </si>
  <si>
    <t>8月</t>
  </si>
  <si>
    <t>9月</t>
  </si>
  <si>
    <t>10月</t>
  </si>
  <si>
    <t>11月</t>
  </si>
  <si>
    <t>12月</t>
  </si>
  <si>
    <t>眼科</t>
  </si>
  <si>
    <t>4月</t>
    <rPh sb="1" eb="2">
      <t>ガツ</t>
    </rPh>
    <phoneticPr fontId="2"/>
  </si>
  <si>
    <t>5月</t>
  </si>
  <si>
    <t>6月</t>
  </si>
  <si>
    <t>薬 品 発 注 一　覧</t>
    <rPh sb="8" eb="9">
      <t>イチ</t>
    </rPh>
    <rPh sb="10" eb="11">
      <t>ラン</t>
    </rPh>
    <phoneticPr fontId="2"/>
  </si>
  <si>
    <t>年　間　救　急　外　来　件　数</t>
    <rPh sb="0" eb="1">
      <t>ネン</t>
    </rPh>
    <rPh sb="2" eb="3">
      <t>アイダ</t>
    </rPh>
    <rPh sb="4" eb="5">
      <t>キュウ</t>
    </rPh>
    <rPh sb="6" eb="7">
      <t>キュウ</t>
    </rPh>
    <rPh sb="8" eb="9">
      <t>ソト</t>
    </rPh>
    <rPh sb="10" eb="11">
      <t>コ</t>
    </rPh>
    <rPh sb="12" eb="13">
      <t>ケン</t>
    </rPh>
    <rPh sb="14" eb="15">
      <t>スウ</t>
    </rPh>
    <phoneticPr fontId="2"/>
  </si>
  <si>
    <t>年間合計</t>
    <rPh sb="0" eb="2">
      <t>ネンカン</t>
    </rPh>
    <rPh sb="2" eb="4">
      <t>ゴウケイ</t>
    </rPh>
    <phoneticPr fontId="2"/>
  </si>
  <si>
    <t>外来患者数</t>
  </si>
  <si>
    <t>診療収入</t>
  </si>
  <si>
    <t>診療費</t>
  </si>
  <si>
    <t>収支</t>
  </si>
  <si>
    <t>合計</t>
  </si>
  <si>
    <t>診療集計報告（診療科別収支）</t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</si>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</sst>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m&quot;月&quot;d&quot;日&quot;;@"/>
    <numFmt numFmtId="178" formatCode="#,##0;[Red]#,##0"/>
  </numFmts>
  <fonts count="1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2"/>
      <color theme="0" tint="-4.9989318521683403E-2"/>
      <name val="游ゴシック"/>
      <family val="3"/>
      <charset val="128"/>
      <scheme val="minor"/>
    </font>
    <font>
      <b/>
      <sz val="11"/>
      <color theme="0" tint="-4.9989318521683403E-2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3"/>
      <name val="BIZ UD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theme="8"/>
      </patternFill>
    </fill>
    <fill>
      <patternFill patternType="solid">
        <fgColor theme="2" tint="-0.499984740745262"/>
        <bgColor theme="7"/>
      </patternFill>
    </fill>
    <fill>
      <patternFill patternType="solid">
        <fgColor theme="9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double">
        <color theme="7"/>
      </bottom>
      <diagonal/>
    </border>
    <border>
      <left/>
      <right/>
      <top style="medium">
        <color theme="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38" fontId="0" fillId="0" borderId="3" xfId="1" applyFont="1" applyBorder="1" applyAlignment="1">
      <alignment vertical="center" wrapText="1"/>
    </xf>
    <xf numFmtId="38" fontId="0" fillId="0" borderId="3" xfId="0" applyNumberFormat="1" applyBorder="1" applyAlignment="1">
      <alignment vertical="center"/>
    </xf>
    <xf numFmtId="38" fontId="0" fillId="0" borderId="0" xfId="1" applyFont="1" applyAlignment="1">
      <alignment vertical="center" wrapText="1"/>
    </xf>
    <xf numFmtId="38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38" fontId="0" fillId="0" borderId="1" xfId="1" applyFont="1" applyBorder="1" applyAlignment="1">
      <alignment vertical="center" wrapText="1"/>
    </xf>
    <xf numFmtId="38" fontId="0" fillId="0" borderId="1" xfId="0" applyNumberFormat="1" applyBorder="1" applyAlignment="1">
      <alignment vertical="center"/>
    </xf>
    <xf numFmtId="0" fontId="0" fillId="0" borderId="7" xfId="0" applyBorder="1"/>
    <xf numFmtId="3" fontId="0" fillId="0" borderId="7" xfId="0" applyNumberFormat="1" applyBorder="1"/>
    <xf numFmtId="3" fontId="0" fillId="0" borderId="8" xfId="0" applyNumberFormat="1" applyBorder="1"/>
    <xf numFmtId="0" fontId="0" fillId="0" borderId="5" xfId="0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4" xfId="0" applyNumberFormat="1" applyBorder="1"/>
    <xf numFmtId="0" fontId="3" fillId="0" borderId="0" xfId="0" applyFon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178" fontId="0" fillId="0" borderId="6" xfId="0" applyNumberForma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vertical="center"/>
    </xf>
    <xf numFmtId="3" fontId="0" fillId="0" borderId="11" xfId="0" applyNumberFormat="1" applyBorder="1" applyAlignment="1">
      <alignment vertical="center"/>
    </xf>
    <xf numFmtId="38" fontId="0" fillId="0" borderId="11" xfId="0" applyNumberFormat="1" applyBorder="1" applyAlignment="1">
      <alignment vertical="center"/>
    </xf>
    <xf numFmtId="176" fontId="0" fillId="0" borderId="0" xfId="2" applyNumberFormat="1" applyFont="1" applyAlignment="1">
      <alignment vertical="center" wrapText="1"/>
    </xf>
    <xf numFmtId="176" fontId="0" fillId="0" borderId="0" xfId="2" applyNumberFormat="1" applyFont="1" applyAlignment="1">
      <alignment vertical="center"/>
    </xf>
    <xf numFmtId="176" fontId="0" fillId="0" borderId="11" xfId="2" applyNumberFormat="1" applyFont="1" applyBorder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8" fillId="5" borderId="0" xfId="0" applyFont="1" applyFill="1" applyAlignment="1">
      <alignment horizontal="left" vertical="center"/>
    </xf>
    <xf numFmtId="0" fontId="9" fillId="0" borderId="1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7" fontId="0" fillId="0" borderId="12" xfId="0" applyNumberForma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38" fontId="0" fillId="0" borderId="12" xfId="1" applyFont="1" applyBorder="1" applyAlignme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回路">
  <a:themeElements>
    <a:clrScheme name="暖かみのある青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回路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4"/>
  <sheetViews>
    <sheetView tabSelected="1" workbookViewId="0"/>
  </sheetViews>
  <sheetFormatPr defaultRowHeight="19.5" customHeight="1" x14ac:dyDescent="0.4"/>
  <cols>
    <col min="1" max="1" width="3" style="1" customWidth="1"/>
    <col min="2" max="2" width="18" style="1" customWidth="1"/>
    <col min="3" max="3" width="12" style="1" customWidth="1"/>
    <col min="4" max="6" width="14" style="1" customWidth="1"/>
    <col min="7" max="16384" width="9" style="1"/>
  </cols>
  <sheetData>
    <row r="1" spans="2:6" ht="27.75" customHeight="1" x14ac:dyDescent="0.4">
      <c r="B1" s="36" t="s">
        <v>0</v>
      </c>
      <c r="C1" s="36"/>
      <c r="D1" s="36"/>
      <c r="E1" s="36"/>
      <c r="F1" s="36"/>
    </row>
    <row r="3" spans="2:6" s="2" customFormat="1" ht="19.5" customHeight="1" x14ac:dyDescent="0.4">
      <c r="B3" s="34" t="s">
        <v>1</v>
      </c>
      <c r="C3" s="34" t="s">
        <v>2</v>
      </c>
      <c r="D3" s="34" t="s">
        <v>3</v>
      </c>
      <c r="E3" s="34" t="s">
        <v>4</v>
      </c>
      <c r="F3" s="34" t="s">
        <v>5</v>
      </c>
    </row>
    <row r="4" spans="2:6" ht="19.5" customHeight="1" x14ac:dyDescent="0.4">
      <c r="B4" s="26" t="s">
        <v>6</v>
      </c>
      <c r="C4" s="25">
        <v>910</v>
      </c>
      <c r="D4" s="27">
        <v>13450000</v>
      </c>
      <c r="E4" s="6">
        <f>D4/C4</f>
        <v>14780.219780219781</v>
      </c>
      <c r="F4" s="31">
        <f>D4/$D$24</f>
        <v>8.1604174250697728E-2</v>
      </c>
    </row>
    <row r="5" spans="2:6" ht="19.5" customHeight="1" x14ac:dyDescent="0.4">
      <c r="B5" s="26" t="s">
        <v>7</v>
      </c>
      <c r="C5" s="25">
        <v>520</v>
      </c>
      <c r="D5" s="27">
        <v>10650000</v>
      </c>
      <c r="E5" s="6">
        <f>D5/C5</f>
        <v>20480.76923076923</v>
      </c>
      <c r="F5" s="31">
        <f t="shared" ref="F5:F24" si="0">D5/$D$24</f>
        <v>6.4615944666909356E-2</v>
      </c>
    </row>
    <row r="6" spans="2:6" ht="19.5" customHeight="1" x14ac:dyDescent="0.4">
      <c r="B6" s="26" t="s">
        <v>8</v>
      </c>
      <c r="C6" s="25">
        <v>340</v>
      </c>
      <c r="D6" s="27">
        <v>4680000</v>
      </c>
      <c r="E6" s="6">
        <f t="shared" ref="E6:E23" si="1">D6/C6</f>
        <v>13764.705882352941</v>
      </c>
      <c r="F6" s="31">
        <f t="shared" si="0"/>
        <v>2.8394612304332E-2</v>
      </c>
    </row>
    <row r="7" spans="2:6" ht="19.5" customHeight="1" x14ac:dyDescent="0.4">
      <c r="B7" s="26" t="s">
        <v>9</v>
      </c>
      <c r="C7" s="25">
        <v>610</v>
      </c>
      <c r="D7" s="27">
        <v>9120000</v>
      </c>
      <c r="E7" s="6">
        <f t="shared" si="1"/>
        <v>14950.819672131147</v>
      </c>
      <c r="F7" s="31">
        <f t="shared" si="0"/>
        <v>5.5333090644339278E-2</v>
      </c>
    </row>
    <row r="8" spans="2:6" ht="19.5" customHeight="1" x14ac:dyDescent="0.4">
      <c r="B8" s="26" t="s">
        <v>10</v>
      </c>
      <c r="C8" s="25">
        <v>290</v>
      </c>
      <c r="D8" s="27">
        <v>3560000</v>
      </c>
      <c r="E8" s="6">
        <f t="shared" si="1"/>
        <v>12275.862068965518</v>
      </c>
      <c r="F8" s="31">
        <f t="shared" si="0"/>
        <v>2.1599320470816648E-2</v>
      </c>
    </row>
    <row r="9" spans="2:6" ht="19.5" customHeight="1" x14ac:dyDescent="0.4">
      <c r="B9" s="26" t="s">
        <v>6</v>
      </c>
      <c r="C9" s="25">
        <v>870</v>
      </c>
      <c r="D9" s="27">
        <v>12980000</v>
      </c>
      <c r="E9" s="6">
        <f t="shared" si="1"/>
        <v>14919.540229885057</v>
      </c>
      <c r="F9" s="31">
        <f t="shared" si="0"/>
        <v>7.8752578570561824E-2</v>
      </c>
    </row>
    <row r="10" spans="2:6" ht="19.5" customHeight="1" x14ac:dyDescent="0.4">
      <c r="B10" s="26" t="s">
        <v>7</v>
      </c>
      <c r="C10" s="25">
        <v>505</v>
      </c>
      <c r="D10" s="27">
        <v>10240000</v>
      </c>
      <c r="E10" s="6">
        <f t="shared" si="1"/>
        <v>20277.227722772277</v>
      </c>
      <c r="F10" s="31">
        <f t="shared" si="0"/>
        <v>6.2128382477854627E-2</v>
      </c>
    </row>
    <row r="11" spans="2:6" ht="19.5" customHeight="1" x14ac:dyDescent="0.4">
      <c r="B11" s="26" t="s">
        <v>8</v>
      </c>
      <c r="C11" s="25">
        <v>360</v>
      </c>
      <c r="D11" s="27">
        <v>4950000</v>
      </c>
      <c r="E11" s="6">
        <f t="shared" si="1"/>
        <v>13750</v>
      </c>
      <c r="F11" s="31">
        <f t="shared" si="0"/>
        <v>3.0032763014197307E-2</v>
      </c>
    </row>
    <row r="12" spans="2:6" ht="19.5" customHeight="1" x14ac:dyDescent="0.4">
      <c r="B12" s="26" t="s">
        <v>9</v>
      </c>
      <c r="C12" s="25">
        <v>640</v>
      </c>
      <c r="D12" s="27">
        <v>9480000</v>
      </c>
      <c r="E12" s="6">
        <f t="shared" si="1"/>
        <v>14812.5</v>
      </c>
      <c r="F12" s="31">
        <f t="shared" si="0"/>
        <v>5.7517291590826358E-2</v>
      </c>
    </row>
    <row r="13" spans="2:6" ht="19.5" customHeight="1" x14ac:dyDescent="0.4">
      <c r="B13" s="26" t="s">
        <v>10</v>
      </c>
      <c r="C13" s="25">
        <v>275</v>
      </c>
      <c r="D13" s="27">
        <v>3420000</v>
      </c>
      <c r="E13" s="6">
        <f t="shared" si="1"/>
        <v>12436.363636363636</v>
      </c>
      <c r="F13" s="31">
        <f t="shared" si="0"/>
        <v>2.0749908991627229E-2</v>
      </c>
    </row>
    <row r="14" spans="2:6" ht="19.5" customHeight="1" x14ac:dyDescent="0.4">
      <c r="B14" s="26" t="s">
        <v>6</v>
      </c>
      <c r="C14" s="25">
        <v>895</v>
      </c>
      <c r="D14" s="27">
        <v>13210000</v>
      </c>
      <c r="E14" s="6">
        <f t="shared" si="1"/>
        <v>14759.776536312849</v>
      </c>
      <c r="F14" s="31">
        <f t="shared" si="0"/>
        <v>8.0148040286373012E-2</v>
      </c>
    </row>
    <row r="15" spans="2:6" ht="19.5" customHeight="1" x14ac:dyDescent="0.4">
      <c r="B15" s="26" t="s">
        <v>7</v>
      </c>
      <c r="C15" s="25">
        <v>540</v>
      </c>
      <c r="D15" s="27">
        <v>10980000</v>
      </c>
      <c r="E15" s="6">
        <f t="shared" si="1"/>
        <v>20333.333333333332</v>
      </c>
      <c r="F15" s="31">
        <f t="shared" si="0"/>
        <v>6.6618128867855841E-2</v>
      </c>
    </row>
    <row r="16" spans="2:6" ht="19.5" customHeight="1" x14ac:dyDescent="0.4">
      <c r="B16" s="26" t="s">
        <v>8</v>
      </c>
      <c r="C16" s="25">
        <v>315</v>
      </c>
      <c r="D16" s="27">
        <v>4350000</v>
      </c>
      <c r="E16" s="6">
        <f t="shared" si="1"/>
        <v>13809.523809523809</v>
      </c>
      <c r="F16" s="31">
        <f t="shared" si="0"/>
        <v>2.6392428103385511E-2</v>
      </c>
    </row>
    <row r="17" spans="2:6" ht="19.5" customHeight="1" x14ac:dyDescent="0.4">
      <c r="B17" s="26" t="s">
        <v>9</v>
      </c>
      <c r="C17" s="25">
        <v>595</v>
      </c>
      <c r="D17" s="27">
        <v>8760000</v>
      </c>
      <c r="E17" s="6">
        <f t="shared" si="1"/>
        <v>14722.689075630253</v>
      </c>
      <c r="F17" s="31">
        <f t="shared" si="0"/>
        <v>5.3148889697852204E-2</v>
      </c>
    </row>
    <row r="18" spans="2:6" ht="19.5" customHeight="1" x14ac:dyDescent="0.4">
      <c r="B18" s="26" t="s">
        <v>10</v>
      </c>
      <c r="C18" s="25">
        <v>285</v>
      </c>
      <c r="D18" s="27">
        <v>3510000</v>
      </c>
      <c r="E18" s="6">
        <f t="shared" si="1"/>
        <v>12315.78947368421</v>
      </c>
      <c r="F18" s="31">
        <f t="shared" si="0"/>
        <v>2.1295959228248999E-2</v>
      </c>
    </row>
    <row r="19" spans="2:6" ht="19.5" customHeight="1" x14ac:dyDescent="0.4">
      <c r="B19" s="26" t="s">
        <v>6</v>
      </c>
      <c r="C19" s="25">
        <v>930</v>
      </c>
      <c r="D19" s="27">
        <v>13780000</v>
      </c>
      <c r="E19" s="6">
        <f t="shared" si="1"/>
        <v>14817.20430107527</v>
      </c>
      <c r="F19" s="31">
        <f t="shared" si="0"/>
        <v>8.3606358451644214E-2</v>
      </c>
    </row>
    <row r="20" spans="2:6" ht="19.5" customHeight="1" x14ac:dyDescent="0.4">
      <c r="B20" s="1" t="s">
        <v>7</v>
      </c>
      <c r="C20" s="1">
        <v>495</v>
      </c>
      <c r="D20" s="28">
        <v>10050000</v>
      </c>
      <c r="E20" s="6">
        <f t="shared" si="1"/>
        <v>20303.030303030304</v>
      </c>
      <c r="F20" s="32">
        <f t="shared" si="0"/>
        <v>6.097560975609756E-2</v>
      </c>
    </row>
    <row r="21" spans="2:6" ht="19.5" customHeight="1" x14ac:dyDescent="0.4">
      <c r="B21" s="1" t="s">
        <v>8</v>
      </c>
      <c r="C21" s="1">
        <v>345</v>
      </c>
      <c r="D21" s="28">
        <v>4720000</v>
      </c>
      <c r="E21" s="6">
        <f t="shared" si="1"/>
        <v>13681.159420289856</v>
      </c>
      <c r="F21" s="32">
        <f t="shared" si="0"/>
        <v>2.8637301298386118E-2</v>
      </c>
    </row>
    <row r="22" spans="2:6" ht="19.5" customHeight="1" x14ac:dyDescent="0.4">
      <c r="B22" s="1" t="s">
        <v>9</v>
      </c>
      <c r="C22" s="1">
        <v>620</v>
      </c>
      <c r="D22" s="28">
        <v>9250000</v>
      </c>
      <c r="E22" s="6">
        <f t="shared" si="1"/>
        <v>14919.354838709678</v>
      </c>
      <c r="F22" s="32">
        <f t="shared" si="0"/>
        <v>5.612182987501517E-2</v>
      </c>
    </row>
    <row r="23" spans="2:6" ht="19.5" customHeight="1" x14ac:dyDescent="0.4">
      <c r="B23" s="1" t="s">
        <v>10</v>
      </c>
      <c r="C23" s="1">
        <v>300</v>
      </c>
      <c r="D23" s="28">
        <v>3680000</v>
      </c>
      <c r="E23" s="6">
        <f t="shared" si="1"/>
        <v>12266.666666666666</v>
      </c>
      <c r="F23" s="32">
        <f t="shared" si="0"/>
        <v>2.2327387452979009E-2</v>
      </c>
    </row>
    <row r="24" spans="2:6" ht="19.5" customHeight="1" x14ac:dyDescent="0.4">
      <c r="B24" s="37" t="s">
        <v>41</v>
      </c>
      <c r="C24" s="37"/>
      <c r="D24" s="29">
        <f>SUM(D4:D23)</f>
        <v>164820000</v>
      </c>
      <c r="E24" s="30">
        <f>AVERAGE(E4:E23)</f>
        <v>15218.826799085795</v>
      </c>
      <c r="F24" s="33">
        <f t="shared" si="0"/>
        <v>1</v>
      </c>
    </row>
  </sheetData>
  <mergeCells count="2">
    <mergeCell ref="B1:F1"/>
    <mergeCell ref="B24:C24"/>
  </mergeCells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9"/>
  <sheetViews>
    <sheetView zoomScaleNormal="100" workbookViewId="0"/>
  </sheetViews>
  <sheetFormatPr defaultRowHeight="19.5" customHeight="1" x14ac:dyDescent="0.4"/>
  <cols>
    <col min="1" max="1" width="4.375" style="1" customWidth="1"/>
    <col min="2" max="2" width="14" style="1" customWidth="1"/>
    <col min="3" max="3" width="13" style="1" customWidth="1"/>
    <col min="4" max="4" width="13.375" style="1" customWidth="1"/>
    <col min="5" max="5" width="10" style="1" customWidth="1"/>
    <col min="6" max="6" width="12" style="1" customWidth="1"/>
    <col min="7" max="7" width="14" style="1" customWidth="1"/>
    <col min="8" max="16384" width="9" style="1"/>
  </cols>
  <sheetData>
    <row r="1" spans="2:7" ht="32.25" customHeight="1" x14ac:dyDescent="0.4">
      <c r="B1" s="35" t="s">
        <v>32</v>
      </c>
    </row>
    <row r="3" spans="2:7" ht="19.5" customHeight="1" x14ac:dyDescent="0.4">
      <c r="B3" s="39" t="s">
        <v>11</v>
      </c>
      <c r="C3" s="39" t="s">
        <v>12</v>
      </c>
      <c r="D3" s="39" t="s">
        <v>1</v>
      </c>
      <c r="E3" s="39" t="s">
        <v>13</v>
      </c>
      <c r="F3" s="39" t="s">
        <v>14</v>
      </c>
      <c r="G3" s="39" t="s">
        <v>15</v>
      </c>
    </row>
    <row r="4" spans="2:7" ht="19.5" customHeight="1" x14ac:dyDescent="0.4">
      <c r="B4" s="40">
        <v>46145</v>
      </c>
      <c r="C4" s="41" t="s">
        <v>16</v>
      </c>
      <c r="D4" s="42" t="s">
        <v>6</v>
      </c>
      <c r="E4" s="43">
        <v>298</v>
      </c>
      <c r="F4" s="43">
        <v>894</v>
      </c>
      <c r="G4" s="43">
        <v>266412</v>
      </c>
    </row>
    <row r="5" spans="2:7" ht="19.5" customHeight="1" x14ac:dyDescent="0.4">
      <c r="B5" s="40">
        <v>46200</v>
      </c>
      <c r="C5" s="41" t="s">
        <v>16</v>
      </c>
      <c r="D5" s="42" t="s">
        <v>8</v>
      </c>
      <c r="E5" s="43">
        <v>276</v>
      </c>
      <c r="F5" s="43">
        <v>2985</v>
      </c>
      <c r="G5" s="43">
        <v>823860</v>
      </c>
    </row>
    <row r="6" spans="2:7" ht="19.5" customHeight="1" x14ac:dyDescent="0.4">
      <c r="B6" s="40">
        <v>46127</v>
      </c>
      <c r="C6" s="41" t="s">
        <v>17</v>
      </c>
      <c r="D6" s="42" t="s">
        <v>9</v>
      </c>
      <c r="E6" s="43">
        <v>125</v>
      </c>
      <c r="F6" s="43">
        <v>4361</v>
      </c>
      <c r="G6" s="43">
        <v>545125</v>
      </c>
    </row>
    <row r="7" spans="2:7" ht="19.5" customHeight="1" x14ac:dyDescent="0.4">
      <c r="B7" s="40">
        <v>46113</v>
      </c>
      <c r="C7" s="41" t="s">
        <v>18</v>
      </c>
      <c r="D7" s="42" t="s">
        <v>7</v>
      </c>
      <c r="E7" s="43">
        <v>294</v>
      </c>
      <c r="F7" s="43">
        <v>2957</v>
      </c>
      <c r="G7" s="43">
        <v>869358</v>
      </c>
    </row>
    <row r="8" spans="2:7" ht="19.5" customHeight="1" x14ac:dyDescent="0.4">
      <c r="B8" s="40">
        <v>46177</v>
      </c>
      <c r="C8" s="41" t="s">
        <v>16</v>
      </c>
      <c r="D8" s="42" t="s">
        <v>8</v>
      </c>
      <c r="E8" s="43">
        <v>283</v>
      </c>
      <c r="F8" s="43">
        <v>1671</v>
      </c>
      <c r="G8" s="43">
        <v>472893</v>
      </c>
    </row>
    <row r="9" spans="2:7" ht="19.5" customHeight="1" x14ac:dyDescent="0.4">
      <c r="B9" s="40">
        <v>46194</v>
      </c>
      <c r="C9" s="41" t="s">
        <v>17</v>
      </c>
      <c r="D9" s="42" t="s">
        <v>8</v>
      </c>
      <c r="E9" s="43">
        <v>179</v>
      </c>
      <c r="F9" s="43">
        <v>2429</v>
      </c>
      <c r="G9" s="43">
        <v>434791</v>
      </c>
    </row>
    <row r="10" spans="2:7" ht="19.5" customHeight="1" x14ac:dyDescent="0.4">
      <c r="B10" s="40">
        <v>46133</v>
      </c>
      <c r="C10" s="41" t="s">
        <v>18</v>
      </c>
      <c r="D10" s="42" t="s">
        <v>8</v>
      </c>
      <c r="E10" s="43">
        <v>188</v>
      </c>
      <c r="F10" s="43">
        <v>804</v>
      </c>
      <c r="G10" s="43">
        <v>151152</v>
      </c>
    </row>
    <row r="11" spans="2:7" ht="19.5" customHeight="1" x14ac:dyDescent="0.4">
      <c r="B11" s="40">
        <v>46175</v>
      </c>
      <c r="C11" s="41" t="s">
        <v>19</v>
      </c>
      <c r="D11" s="42" t="s">
        <v>8</v>
      </c>
      <c r="E11" s="43">
        <v>54</v>
      </c>
      <c r="F11" s="43">
        <v>1716</v>
      </c>
      <c r="G11" s="43">
        <v>92664</v>
      </c>
    </row>
    <row r="12" spans="2:7" ht="19.5" customHeight="1" x14ac:dyDescent="0.4">
      <c r="B12" s="40">
        <v>46143</v>
      </c>
      <c r="C12" s="41" t="s">
        <v>18</v>
      </c>
      <c r="D12" s="42" t="s">
        <v>6</v>
      </c>
      <c r="E12" s="43">
        <v>64</v>
      </c>
      <c r="F12" s="43">
        <v>2773</v>
      </c>
      <c r="G12" s="43">
        <v>177472</v>
      </c>
    </row>
    <row r="13" spans="2:7" ht="19.5" customHeight="1" x14ac:dyDescent="0.4">
      <c r="B13" s="40">
        <v>46123</v>
      </c>
      <c r="C13" s="41" t="s">
        <v>20</v>
      </c>
      <c r="D13" s="42" t="s">
        <v>10</v>
      </c>
      <c r="E13" s="43">
        <v>237</v>
      </c>
      <c r="F13" s="43">
        <v>4781</v>
      </c>
      <c r="G13" s="43">
        <v>1133097</v>
      </c>
    </row>
    <row r="14" spans="2:7" ht="19.5" customHeight="1" x14ac:dyDescent="0.4">
      <c r="B14" s="40">
        <v>46129</v>
      </c>
      <c r="C14" s="41" t="s">
        <v>18</v>
      </c>
      <c r="D14" s="42" t="s">
        <v>7</v>
      </c>
      <c r="E14" s="43">
        <v>82</v>
      </c>
      <c r="F14" s="43">
        <v>4693</v>
      </c>
      <c r="G14" s="43">
        <v>384826</v>
      </c>
    </row>
    <row r="15" spans="2:7" ht="19.5" customHeight="1" x14ac:dyDescent="0.4">
      <c r="B15" s="40">
        <v>46146</v>
      </c>
      <c r="C15" s="41" t="s">
        <v>17</v>
      </c>
      <c r="D15" s="42" t="s">
        <v>10</v>
      </c>
      <c r="E15" s="43">
        <v>185</v>
      </c>
      <c r="F15" s="43">
        <v>4266</v>
      </c>
      <c r="G15" s="43">
        <v>789210</v>
      </c>
    </row>
    <row r="16" spans="2:7" ht="19.5" customHeight="1" x14ac:dyDescent="0.4">
      <c r="B16" s="40">
        <v>46201</v>
      </c>
      <c r="C16" s="41" t="s">
        <v>21</v>
      </c>
      <c r="D16" s="42" t="s">
        <v>8</v>
      </c>
      <c r="E16" s="43">
        <v>101</v>
      </c>
      <c r="F16" s="43">
        <v>3353</v>
      </c>
      <c r="G16" s="43">
        <v>338653</v>
      </c>
    </row>
    <row r="17" spans="2:7" ht="19.5" customHeight="1" x14ac:dyDescent="0.4">
      <c r="B17" s="40">
        <v>46169</v>
      </c>
      <c r="C17" s="41" t="s">
        <v>20</v>
      </c>
      <c r="D17" s="42" t="s">
        <v>7</v>
      </c>
      <c r="E17" s="43">
        <v>280</v>
      </c>
      <c r="F17" s="43">
        <v>4498</v>
      </c>
      <c r="G17" s="43">
        <v>1259440</v>
      </c>
    </row>
    <row r="18" spans="2:7" ht="19.5" customHeight="1" x14ac:dyDescent="0.4">
      <c r="B18" s="40">
        <v>46141</v>
      </c>
      <c r="C18" s="41" t="s">
        <v>20</v>
      </c>
      <c r="D18" s="42" t="s">
        <v>10</v>
      </c>
      <c r="E18" s="43">
        <v>66</v>
      </c>
      <c r="F18" s="43">
        <v>3569</v>
      </c>
      <c r="G18" s="43">
        <v>235554</v>
      </c>
    </row>
    <row r="19" spans="2:7" ht="19.5" customHeight="1" x14ac:dyDescent="0.4">
      <c r="B19" s="40">
        <v>46183</v>
      </c>
      <c r="C19" s="41" t="s">
        <v>20</v>
      </c>
      <c r="D19" s="42" t="s">
        <v>6</v>
      </c>
      <c r="E19" s="43">
        <v>108</v>
      </c>
      <c r="F19" s="43">
        <v>2604</v>
      </c>
      <c r="G19" s="43">
        <v>281232</v>
      </c>
    </row>
  </sheetData>
  <phoneticPr fontId="2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237B-5C82-4441-8C83-E098361CA9A8}">
  <dimension ref="A1:E10"/>
  <sheetViews>
    <sheetView workbookViewId="0"/>
  </sheetViews>
  <sheetFormatPr defaultRowHeight="18.75" x14ac:dyDescent="0.4"/>
  <cols>
    <col min="1" max="5" width="12.75" customWidth="1"/>
  </cols>
  <sheetData>
    <row r="1" spans="1:5" ht="11.25" customHeight="1" x14ac:dyDescent="0.4"/>
    <row r="2" spans="1:5" ht="24" x14ac:dyDescent="0.5">
      <c r="A2" s="20" t="s">
        <v>40</v>
      </c>
    </row>
    <row r="3" spans="1:5" ht="19.5" thickBot="1" x14ac:dyDescent="0.45">
      <c r="A3" s="21" t="s">
        <v>1</v>
      </c>
      <c r="B3" s="21" t="s">
        <v>35</v>
      </c>
      <c r="C3" s="21" t="s">
        <v>36</v>
      </c>
      <c r="D3" s="21" t="s">
        <v>37</v>
      </c>
      <c r="E3" s="22" t="s">
        <v>38</v>
      </c>
    </row>
    <row r="4" spans="1:5" x14ac:dyDescent="0.4">
      <c r="A4" s="11" t="s">
        <v>6</v>
      </c>
      <c r="B4" s="11">
        <v>315</v>
      </c>
      <c r="C4" s="12">
        <v>1285000</v>
      </c>
      <c r="D4" s="12">
        <v>1142000</v>
      </c>
      <c r="E4" s="13">
        <f>C4-D4</f>
        <v>143000</v>
      </c>
    </row>
    <row r="5" spans="1:5" x14ac:dyDescent="0.4">
      <c r="A5" s="14" t="s">
        <v>7</v>
      </c>
      <c r="B5" s="14">
        <v>208</v>
      </c>
      <c r="C5" s="15">
        <v>1164000</v>
      </c>
      <c r="D5" s="15">
        <v>1236000</v>
      </c>
      <c r="E5" s="24">
        <f t="shared" ref="E5:E9" si="0">C5-D5</f>
        <v>-72000</v>
      </c>
    </row>
    <row r="6" spans="1:5" x14ac:dyDescent="0.4">
      <c r="A6" s="14" t="s">
        <v>8</v>
      </c>
      <c r="B6" s="14">
        <v>189</v>
      </c>
      <c r="C6" s="15">
        <v>856000</v>
      </c>
      <c r="D6" s="15">
        <v>798000</v>
      </c>
      <c r="E6" s="16">
        <f t="shared" si="0"/>
        <v>58000</v>
      </c>
    </row>
    <row r="7" spans="1:5" x14ac:dyDescent="0.4">
      <c r="A7" s="14" t="s">
        <v>9</v>
      </c>
      <c r="B7" s="14">
        <v>142</v>
      </c>
      <c r="C7" s="15">
        <v>965000</v>
      </c>
      <c r="D7" s="15">
        <v>117890</v>
      </c>
      <c r="E7" s="16">
        <f t="shared" si="0"/>
        <v>847110</v>
      </c>
    </row>
    <row r="8" spans="1:5" x14ac:dyDescent="0.4">
      <c r="A8" s="14" t="s">
        <v>10</v>
      </c>
      <c r="B8" s="14">
        <v>126</v>
      </c>
      <c r="C8" s="15">
        <v>588000</v>
      </c>
      <c r="D8" s="15">
        <v>563000</v>
      </c>
      <c r="E8" s="16">
        <f t="shared" si="0"/>
        <v>25000</v>
      </c>
    </row>
    <row r="9" spans="1:5" x14ac:dyDescent="0.4">
      <c r="A9" s="14" t="s">
        <v>28</v>
      </c>
      <c r="B9" s="14">
        <v>154</v>
      </c>
      <c r="C9" s="15">
        <v>731000</v>
      </c>
      <c r="D9" s="15">
        <v>684000</v>
      </c>
      <c r="E9" s="16">
        <f t="shared" si="0"/>
        <v>47000</v>
      </c>
    </row>
    <row r="10" spans="1:5" x14ac:dyDescent="0.4">
      <c r="A10" s="17" t="s">
        <v>39</v>
      </c>
      <c r="B10" s="18">
        <f t="shared" ref="B10:E10" si="1">SUBTOTAL(109,B4:B9)</f>
        <v>1134</v>
      </c>
      <c r="C10" s="18">
        <f t="shared" si="1"/>
        <v>5589000</v>
      </c>
      <c r="D10" s="18">
        <f t="shared" si="1"/>
        <v>4540890</v>
      </c>
      <c r="E10" s="19">
        <f t="shared" si="1"/>
        <v>1048110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0"/>
  <sheetViews>
    <sheetView workbookViewId="0"/>
  </sheetViews>
  <sheetFormatPr defaultRowHeight="19.5" customHeight="1" x14ac:dyDescent="0.4"/>
  <cols>
    <col min="1" max="1" width="12.625" style="1" customWidth="1"/>
    <col min="2" max="10" width="10" style="1" customWidth="1"/>
    <col min="11" max="11" width="25" style="1" customWidth="1"/>
    <col min="12" max="16384" width="9" style="1"/>
  </cols>
  <sheetData>
    <row r="2" spans="1:11" ht="33" customHeight="1" thickBot="1" x14ac:dyDescent="0.45">
      <c r="A2" s="38" t="s">
        <v>33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19.5" customHeight="1" thickTop="1" thickBot="1" x14ac:dyDescent="0.4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1" ht="21" customHeight="1" thickBot="1" x14ac:dyDescent="0.45">
      <c r="A4" s="23" t="s">
        <v>1</v>
      </c>
      <c r="B4" s="23" t="s">
        <v>29</v>
      </c>
      <c r="C4" s="23" t="s">
        <v>30</v>
      </c>
      <c r="D4" s="23" t="s">
        <v>31</v>
      </c>
      <c r="E4" s="23" t="s">
        <v>22</v>
      </c>
      <c r="F4" s="23" t="s">
        <v>23</v>
      </c>
      <c r="G4" s="23" t="s">
        <v>24</v>
      </c>
      <c r="H4" s="23" t="s">
        <v>25</v>
      </c>
      <c r="I4" s="23" t="s">
        <v>26</v>
      </c>
      <c r="J4" s="23" t="s">
        <v>27</v>
      </c>
      <c r="K4" s="23" t="s">
        <v>34</v>
      </c>
    </row>
    <row r="5" spans="1:11" ht="27.75" customHeight="1" x14ac:dyDescent="0.4">
      <c r="A5" s="3" t="s">
        <v>6</v>
      </c>
      <c r="B5" s="4">
        <v>842</v>
      </c>
      <c r="C5" s="4">
        <v>1364</v>
      </c>
      <c r="D5" s="4">
        <v>978</v>
      </c>
      <c r="E5" s="4">
        <v>620</v>
      </c>
      <c r="F5" s="4">
        <v>1176</v>
      </c>
      <c r="G5" s="4">
        <v>1070</v>
      </c>
      <c r="H5" s="4">
        <v>3962</v>
      </c>
      <c r="I5" s="4">
        <v>3936</v>
      </c>
      <c r="J5" s="4">
        <v>986</v>
      </c>
      <c r="K5" s="5">
        <f>SUM(B5:J5)</f>
        <v>14934</v>
      </c>
    </row>
    <row r="6" spans="1:11" ht="27.75" customHeight="1" x14ac:dyDescent="0.4">
      <c r="A6" s="1" t="s">
        <v>7</v>
      </c>
      <c r="B6" s="6">
        <v>2987</v>
      </c>
      <c r="C6" s="6">
        <v>1835</v>
      </c>
      <c r="D6" s="6">
        <v>3246</v>
      </c>
      <c r="E6" s="6">
        <v>3451</v>
      </c>
      <c r="F6" s="6">
        <v>1221</v>
      </c>
      <c r="G6" s="6">
        <v>2649</v>
      </c>
      <c r="H6" s="6">
        <v>1194</v>
      </c>
      <c r="I6" s="6">
        <v>889</v>
      </c>
      <c r="J6" s="6">
        <v>2751</v>
      </c>
      <c r="K6" s="7">
        <f t="shared" ref="K6:K10" si="0">SUM(B6:J6)</f>
        <v>20223</v>
      </c>
    </row>
    <row r="7" spans="1:11" ht="27.75" customHeight="1" x14ac:dyDescent="0.4">
      <c r="A7" s="1" t="s">
        <v>8</v>
      </c>
      <c r="B7" s="6">
        <v>3142</v>
      </c>
      <c r="C7" s="6">
        <v>2679</v>
      </c>
      <c r="D7" s="6">
        <v>1894</v>
      </c>
      <c r="E7" s="6">
        <v>2815</v>
      </c>
      <c r="F7" s="6">
        <v>3671</v>
      </c>
      <c r="G7" s="6">
        <v>530</v>
      </c>
      <c r="H7" s="6">
        <v>1332</v>
      </c>
      <c r="I7" s="6">
        <v>2240</v>
      </c>
      <c r="J7" s="6">
        <v>3599</v>
      </c>
      <c r="K7" s="7">
        <f t="shared" si="0"/>
        <v>21902</v>
      </c>
    </row>
    <row r="8" spans="1:11" ht="27.75" customHeight="1" x14ac:dyDescent="0.4">
      <c r="A8" s="1" t="s">
        <v>9</v>
      </c>
      <c r="B8" s="6">
        <v>4218</v>
      </c>
      <c r="C8" s="6">
        <v>3884</v>
      </c>
      <c r="D8" s="6">
        <v>4521</v>
      </c>
      <c r="E8" s="6">
        <v>3853</v>
      </c>
      <c r="F8" s="6">
        <v>4711</v>
      </c>
      <c r="G8" s="6">
        <v>817</v>
      </c>
      <c r="H8" s="6">
        <v>619</v>
      </c>
      <c r="I8" s="6">
        <v>1205</v>
      </c>
      <c r="J8" s="6">
        <v>1476</v>
      </c>
      <c r="K8" s="7">
        <f t="shared" si="0"/>
        <v>25304</v>
      </c>
    </row>
    <row r="9" spans="1:11" ht="27.75" customHeight="1" x14ac:dyDescent="0.4">
      <c r="A9" s="1" t="s">
        <v>10</v>
      </c>
      <c r="B9" s="6">
        <v>965</v>
      </c>
      <c r="C9" s="6">
        <v>1542</v>
      </c>
      <c r="D9" s="6">
        <v>2388</v>
      </c>
      <c r="E9" s="6">
        <v>616</v>
      </c>
      <c r="F9" s="6">
        <v>1278</v>
      </c>
      <c r="G9" s="6">
        <v>1491</v>
      </c>
      <c r="H9" s="6">
        <v>1004</v>
      </c>
      <c r="I9" s="6">
        <v>3692</v>
      </c>
      <c r="J9" s="6">
        <v>4141</v>
      </c>
      <c r="K9" s="7">
        <f t="shared" si="0"/>
        <v>17117</v>
      </c>
    </row>
    <row r="10" spans="1:11" ht="27.75" customHeight="1" thickBot="1" x14ac:dyDescent="0.45">
      <c r="A10" s="8" t="s">
        <v>28</v>
      </c>
      <c r="B10" s="9">
        <v>4386</v>
      </c>
      <c r="C10" s="9">
        <v>3210</v>
      </c>
      <c r="D10" s="9">
        <v>2745</v>
      </c>
      <c r="E10" s="9">
        <v>4743</v>
      </c>
      <c r="F10" s="9">
        <v>988</v>
      </c>
      <c r="G10" s="9">
        <v>1114</v>
      </c>
      <c r="H10" s="9">
        <v>3544</v>
      </c>
      <c r="I10" s="9">
        <v>704</v>
      </c>
      <c r="J10" s="9">
        <v>3086</v>
      </c>
      <c r="K10" s="10">
        <f t="shared" si="0"/>
        <v>24520</v>
      </c>
    </row>
  </sheetData>
  <mergeCells count="1">
    <mergeCell ref="A2:K2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診療集計報告</vt:lpstr>
      <vt:lpstr>薬品発注明細</vt:lpstr>
      <vt:lpstr>診療集計</vt:lpstr>
      <vt:lpstr>救急外来件数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cp:lastPrinted>2026-07-07T13:09:56Z</cp:lastPrinted>
  <dcterms:created xsi:type="dcterms:W3CDTF">2026-06-25T05:03:56Z</dcterms:created>
  <dcterms:modified xsi:type="dcterms:W3CDTF">2026-07-07T13:11:03Z</dcterms:modified>
</cp:coreProperties>
</file>