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Project7(未チェック・未提出)\"/>
    </mc:Choice>
  </mc:AlternateContent>
  <xr:revisionPtr revIDLastSave="0" documentId="13_ncr:1_{8E58253D-744C-437D-A61B-59B13AE5AA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注文集計報告" sheetId="2" r:id="rId1"/>
    <sheet name="仕入明細" sheetId="3" r:id="rId2"/>
    <sheet name="下半期売上" sheetId="4" r:id="rId3"/>
    <sheet name="返品一覧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D13" i="2"/>
  <c r="E13" i="2"/>
  <c r="C13" i="2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3" i="2" l="1"/>
  <c r="F13" i="2" l="1"/>
  <c r="G3" i="2" s="1"/>
  <c r="H3" i="2"/>
  <c r="G13" i="2" l="1"/>
  <c r="G5" i="2"/>
  <c r="G7" i="2"/>
  <c r="G6" i="2"/>
  <c r="G4" i="2"/>
  <c r="G8" i="2"/>
  <c r="G12" i="2"/>
  <c r="G11" i="2"/>
  <c r="G10" i="2"/>
  <c r="G9" i="2"/>
</calcChain>
</file>

<file path=xl/sharedStrings.xml><?xml version="1.0" encoding="utf-8"?>
<sst xmlns="http://schemas.openxmlformats.org/spreadsheetml/2006/main" count="88" uniqueCount="55">
  <si>
    <t>注文集計報告（月次）</t>
  </si>
  <si>
    <t>カテゴリ</t>
  </si>
  <si>
    <t>件数</t>
  </si>
  <si>
    <t>売上</t>
  </si>
  <si>
    <t>平均単価</t>
  </si>
  <si>
    <t>構成比</t>
  </si>
  <si>
    <t>ドリンク</t>
  </si>
  <si>
    <t>フード</t>
  </si>
  <si>
    <t>デザート</t>
  </si>
  <si>
    <t>グッズ</t>
  </si>
  <si>
    <t>合計</t>
  </si>
  <si>
    <t>商品名</t>
  </si>
  <si>
    <t>数量</t>
  </si>
  <si>
    <t>単価</t>
  </si>
  <si>
    <t>小計</t>
  </si>
  <si>
    <t>カフェラテ</t>
  </si>
  <si>
    <t>抹茶ラテ</t>
  </si>
  <si>
    <t>エスプレッソ</t>
  </si>
  <si>
    <t>アメリカーノ</t>
  </si>
  <si>
    <t>ホットサンド</t>
  </si>
  <si>
    <t>チーズケーキ</t>
  </si>
  <si>
    <t>ベーグル</t>
  </si>
  <si>
    <t>シフォンケーキ</t>
  </si>
  <si>
    <t>フルーツタルト</t>
  </si>
  <si>
    <t>7月</t>
  </si>
  <si>
    <t>8月</t>
  </si>
  <si>
    <t>9月</t>
  </si>
  <si>
    <t>10月</t>
  </si>
  <si>
    <t>11月</t>
  </si>
  <si>
    <t>12月</t>
  </si>
  <si>
    <t>発注日</t>
    <phoneticPr fontId="1"/>
  </si>
  <si>
    <t>モーニング</t>
  </si>
  <si>
    <t>ランチ</t>
  </si>
  <si>
    <t>テイクアウト</t>
  </si>
  <si>
    <t>季節限定</t>
  </si>
  <si>
    <t>セットメニュー</t>
  </si>
  <si>
    <t>ギフト</t>
  </si>
  <si>
    <t>カテゴリ</t>
    <phoneticPr fontId="1"/>
  </si>
  <si>
    <t>商　品　発　注　表</t>
    <rPh sb="0" eb="1">
      <t>ショウ</t>
    </rPh>
    <rPh sb="2" eb="3">
      <t>ヒン</t>
    </rPh>
    <rPh sb="4" eb="5">
      <t>ハッ</t>
    </rPh>
    <rPh sb="6" eb="7">
      <t>チュウ</t>
    </rPh>
    <rPh sb="8" eb="9">
      <t>ヒョウ</t>
    </rPh>
    <phoneticPr fontId="1"/>
  </si>
  <si>
    <t>前年同月売上</t>
    <rPh sb="0" eb="2">
      <t>ゼンネン</t>
    </rPh>
    <rPh sb="2" eb="4">
      <t>ドウゲツ</t>
    </rPh>
    <rPh sb="4" eb="6">
      <t>ウリアゲ</t>
    </rPh>
    <phoneticPr fontId="1"/>
  </si>
  <si>
    <t>商品別 下半期売上</t>
    <rPh sb="0" eb="2">
      <t>ショウヒン</t>
    </rPh>
    <rPh sb="2" eb="3">
      <t>ベツ</t>
    </rPh>
    <rPh sb="4" eb="5">
      <t>シタ</t>
    </rPh>
    <phoneticPr fontId="1"/>
  </si>
  <si>
    <t>伸び率</t>
    <rPh sb="0" eb="1">
      <t>ノ</t>
    </rPh>
    <rPh sb="2" eb="3">
      <t>リツ</t>
    </rPh>
    <phoneticPr fontId="1"/>
  </si>
  <si>
    <t>返品日</t>
  </si>
  <si>
    <t>返品金額</t>
  </si>
  <si>
    <t>ブレンドコーヒー</t>
  </si>
  <si>
    <t>サンドイッチ</t>
  </si>
  <si>
    <t>返品一覧</t>
  </si>
  <si>
    <t>アイスコーヒー</t>
  </si>
  <si>
    <t>カフェモカ</t>
  </si>
  <si>
    <t>紅茶</t>
  </si>
  <si>
    <t>アップルジュース</t>
  </si>
  <si>
    <t>ホットドッグ</t>
  </si>
  <si>
    <t>ハムサンド</t>
  </si>
  <si>
    <t>プリン</t>
  </si>
  <si>
    <t>クッキーセット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</si>
</sst>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m&quot;月&quot;d&quot;日&quot;;@"/>
    <numFmt numFmtId="178" formatCode="#,##0_ "/>
    <numFmt numFmtId="180" formatCode="0;[Red]0"/>
  </numFmts>
  <fonts count="13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2"/>
      <scheme val="minor"/>
    </font>
    <font>
      <b/>
      <sz val="16"/>
      <color theme="1"/>
      <name val="BIZ UDP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b/>
      <sz val="16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2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theme="1"/>
      </patternFill>
    </fill>
  </fills>
  <borders count="1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8" fontId="0" fillId="0" borderId="0" xfId="1" applyFont="1" applyAlignment="1">
      <alignment vertical="center"/>
    </xf>
    <xf numFmtId="176" fontId="0" fillId="0" borderId="0" xfId="2" applyNumberFormat="1" applyFont="1" applyAlignment="1">
      <alignment vertical="center"/>
    </xf>
    <xf numFmtId="3" fontId="0" fillId="0" borderId="0" xfId="0" applyNumberForma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38" fontId="0" fillId="0" borderId="3" xfId="1" applyFont="1" applyBorder="1" applyAlignment="1">
      <alignment vertical="center"/>
    </xf>
    <xf numFmtId="176" fontId="0" fillId="0" borderId="3" xfId="2" applyNumberFormat="1" applyFont="1" applyBorder="1" applyAlignment="1">
      <alignment vertical="center"/>
    </xf>
    <xf numFmtId="176" fontId="0" fillId="0" borderId="2" xfId="2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38" fontId="3" fillId="5" borderId="7" xfId="1" applyFont="1" applyFill="1" applyBorder="1" applyAlignment="1">
      <alignment horizontal="center" vertical="center"/>
    </xf>
    <xf numFmtId="176" fontId="3" fillId="5" borderId="7" xfId="2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3" fontId="0" fillId="0" borderId="8" xfId="0" applyNumberFormat="1" applyBorder="1" applyAlignment="1">
      <alignment vertical="center"/>
    </xf>
    <xf numFmtId="176" fontId="0" fillId="0" borderId="8" xfId="2" applyNumberFormat="1" applyFont="1" applyBorder="1" applyAlignment="1">
      <alignment vertical="center"/>
    </xf>
    <xf numFmtId="38" fontId="0" fillId="0" borderId="8" xfId="1" applyFont="1" applyBorder="1" applyAlignment="1">
      <alignment vertical="center"/>
    </xf>
    <xf numFmtId="38" fontId="9" fillId="0" borderId="2" xfId="0" applyNumberFormat="1" applyFont="1" applyBorder="1" applyAlignment="1">
      <alignment vertical="center"/>
    </xf>
    <xf numFmtId="0" fontId="6" fillId="0" borderId="9" xfId="0" applyFont="1" applyBorder="1" applyAlignment="1">
      <alignment horizontal="centerContinuous" vertical="center"/>
    </xf>
    <xf numFmtId="0" fontId="0" fillId="0" borderId="9" xfId="0" applyBorder="1" applyAlignment="1">
      <alignment horizontal="centerContinuous" vertical="center"/>
    </xf>
    <xf numFmtId="0" fontId="10" fillId="0" borderId="1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0" xfId="0" applyFont="1" applyBorder="1" applyAlignment="1">
      <alignment vertical="center"/>
    </xf>
    <xf numFmtId="0" fontId="12" fillId="6" borderId="11" xfId="0" applyFont="1" applyFill="1" applyBorder="1" applyAlignment="1">
      <alignment horizontal="center" vertical="center"/>
    </xf>
    <xf numFmtId="178" fontId="11" fillId="0" borderId="11" xfId="1" applyNumberFormat="1" applyFont="1" applyFill="1" applyBorder="1" applyAlignment="1">
      <alignment vertical="center"/>
    </xf>
    <xf numFmtId="178" fontId="11" fillId="0" borderId="0" xfId="1" applyNumberFormat="1" applyFont="1" applyFill="1" applyAlignment="1">
      <alignment vertical="center"/>
    </xf>
    <xf numFmtId="178" fontId="11" fillId="0" borderId="10" xfId="1" applyNumberFormat="1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38" fontId="0" fillId="0" borderId="15" xfId="1" applyFont="1" applyBorder="1" applyAlignment="1">
      <alignment vertical="center"/>
    </xf>
    <xf numFmtId="177" fontId="0" fillId="0" borderId="15" xfId="0" applyNumberFormat="1" applyBorder="1" applyAlignment="1">
      <alignment vertical="center"/>
    </xf>
    <xf numFmtId="0" fontId="8" fillId="4" borderId="0" xfId="0" applyFont="1" applyFill="1" applyAlignment="1">
      <alignment horizontal="center" vertical="center"/>
    </xf>
    <xf numFmtId="4" fontId="0" fillId="0" borderId="0" xfId="1" applyNumberFormat="1" applyFont="1" applyAlignment="1">
      <alignment vertical="center"/>
    </xf>
    <xf numFmtId="4" fontId="0" fillId="0" borderId="8" xfId="1" applyNumberFormat="1" applyFont="1" applyBorder="1" applyAlignment="1">
      <alignment vertical="center"/>
    </xf>
    <xf numFmtId="180" fontId="0" fillId="0" borderId="15" xfId="0" applyNumberFormat="1" applyBorder="1" applyAlignment="1">
      <alignment vertical="center"/>
    </xf>
    <xf numFmtId="177" fontId="9" fillId="3" borderId="0" xfId="0" applyNumberFormat="1" applyFont="1" applyFill="1" applyAlignment="1">
      <alignment vertical="center"/>
    </xf>
    <xf numFmtId="0" fontId="9" fillId="3" borderId="4" xfId="0" applyFont="1" applyFill="1" applyBorder="1" applyAlignment="1">
      <alignment vertical="center"/>
    </xf>
    <xf numFmtId="38" fontId="9" fillId="3" borderId="4" xfId="1" applyFont="1" applyFill="1" applyBorder="1" applyAlignment="1">
      <alignment vertical="center"/>
    </xf>
    <xf numFmtId="177" fontId="9" fillId="3" borderId="5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38" fontId="9" fillId="3" borderId="1" xfId="1" applyFont="1" applyFill="1" applyBorder="1" applyAlignment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ギャラリー">
  <a:themeElements>
    <a:clrScheme name="ギャラリー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ギャラリー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ギャラリー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3"/>
  <sheetViews>
    <sheetView tabSelected="1" workbookViewId="0"/>
  </sheetViews>
  <sheetFormatPr defaultRowHeight="23.25" customHeight="1"/>
  <cols>
    <col min="1" max="1" width="3" style="1" customWidth="1"/>
    <col min="2" max="2" width="16" style="1" customWidth="1"/>
    <col min="3" max="3" width="13.625" style="1" customWidth="1"/>
    <col min="4" max="4" width="12.125" style="1" customWidth="1"/>
    <col min="5" max="5" width="12.25" style="1" customWidth="1"/>
    <col min="6" max="7" width="14" style="1" customWidth="1"/>
    <col min="8" max="8" width="12.75" style="1" customWidth="1"/>
    <col min="9" max="16384" width="9" style="1"/>
  </cols>
  <sheetData>
    <row r="1" spans="2:8" ht="36.75" customHeight="1" thickBot="1">
      <c r="B1" s="11" t="s">
        <v>0</v>
      </c>
      <c r="C1" s="11"/>
    </row>
    <row r="2" spans="2:8" s="2" customFormat="1" ht="23.25" customHeight="1" thickBot="1">
      <c r="B2" s="6" t="s">
        <v>37</v>
      </c>
      <c r="C2" s="6" t="s">
        <v>39</v>
      </c>
      <c r="D2" s="6" t="s">
        <v>2</v>
      </c>
      <c r="E2" s="6" t="s">
        <v>4</v>
      </c>
      <c r="F2" s="6" t="s">
        <v>3</v>
      </c>
      <c r="G2" s="6" t="s">
        <v>5</v>
      </c>
      <c r="H2" s="6" t="s">
        <v>41</v>
      </c>
    </row>
    <row r="3" spans="2:8" ht="23.25" customHeight="1">
      <c r="B3" s="7" t="s">
        <v>6</v>
      </c>
      <c r="C3" s="8">
        <v>168341</v>
      </c>
      <c r="D3" s="8">
        <v>384</v>
      </c>
      <c r="E3" s="8">
        <v>481</v>
      </c>
      <c r="F3" s="8">
        <f t="shared" ref="F3:F12" si="0">D3*E3</f>
        <v>184704</v>
      </c>
      <c r="G3" s="9">
        <f t="shared" ref="G3:G13" si="1">F3/$F$13</f>
        <v>0.13013702490798307</v>
      </c>
      <c r="H3" s="40">
        <f>F3/C3-1</f>
        <v>9.7201513594430411E-2</v>
      </c>
    </row>
    <row r="4" spans="2:8" ht="23.25" customHeight="1">
      <c r="B4" s="1" t="s">
        <v>7</v>
      </c>
      <c r="C4" s="3">
        <v>118760</v>
      </c>
      <c r="D4" s="3">
        <v>180</v>
      </c>
      <c r="E4" s="3">
        <v>678</v>
      </c>
      <c r="F4" s="3">
        <f t="shared" si="0"/>
        <v>122040</v>
      </c>
      <c r="G4" s="4">
        <f t="shared" si="1"/>
        <v>8.598580712800076E-2</v>
      </c>
      <c r="H4" s="40">
        <f t="shared" ref="H4:H12" si="2">F4/C4-1</f>
        <v>2.7618726844055308E-2</v>
      </c>
    </row>
    <row r="5" spans="2:8" ht="23.25" customHeight="1">
      <c r="B5" s="1" t="s">
        <v>8</v>
      </c>
      <c r="C5" s="3">
        <v>54780</v>
      </c>
      <c r="D5" s="3">
        <v>120</v>
      </c>
      <c r="E5" s="3">
        <v>578</v>
      </c>
      <c r="F5" s="3">
        <f t="shared" si="0"/>
        <v>69360</v>
      </c>
      <c r="G5" s="4">
        <f t="shared" si="1"/>
        <v>4.8869023126828358E-2</v>
      </c>
      <c r="H5" s="40">
        <f t="shared" si="2"/>
        <v>0.26615553121577218</v>
      </c>
    </row>
    <row r="6" spans="2:8" ht="23.25" customHeight="1">
      <c r="B6" s="1" t="s">
        <v>9</v>
      </c>
      <c r="C6" s="3">
        <v>29450</v>
      </c>
      <c r="D6" s="3">
        <v>40</v>
      </c>
      <c r="E6" s="3">
        <v>700</v>
      </c>
      <c r="F6" s="3">
        <f t="shared" si="0"/>
        <v>28000</v>
      </c>
      <c r="G6" s="4">
        <f t="shared" si="1"/>
        <v>1.9727979347623905E-2</v>
      </c>
      <c r="H6" s="40">
        <f t="shared" si="2"/>
        <v>-4.9235993208828543E-2</v>
      </c>
    </row>
    <row r="7" spans="2:8" ht="23.25" customHeight="1">
      <c r="B7" s="1" t="s">
        <v>31</v>
      </c>
      <c r="C7" s="3">
        <v>81420</v>
      </c>
      <c r="D7" s="3">
        <v>160</v>
      </c>
      <c r="E7" s="3">
        <v>640</v>
      </c>
      <c r="F7" s="3">
        <f t="shared" si="0"/>
        <v>102400</v>
      </c>
      <c r="G7" s="4">
        <f t="shared" si="1"/>
        <v>7.2148038757024566E-2</v>
      </c>
      <c r="H7" s="40">
        <f t="shared" si="2"/>
        <v>0.25767624662245159</v>
      </c>
    </row>
    <row r="8" spans="2:8" ht="23.25" customHeight="1">
      <c r="B8" s="1" t="s">
        <v>32</v>
      </c>
      <c r="C8" s="3">
        <v>195680</v>
      </c>
      <c r="D8" s="1">
        <v>228</v>
      </c>
      <c r="E8" s="1">
        <v>900</v>
      </c>
      <c r="F8" s="5">
        <f t="shared" si="0"/>
        <v>205200</v>
      </c>
      <c r="G8" s="4">
        <f t="shared" si="1"/>
        <v>0.14457790579044377</v>
      </c>
      <c r="H8" s="40">
        <f t="shared" si="2"/>
        <v>4.8650858544562636E-2</v>
      </c>
    </row>
    <row r="9" spans="2:8" ht="23.25" customHeight="1">
      <c r="B9" s="1" t="s">
        <v>33</v>
      </c>
      <c r="C9" s="3">
        <v>70350</v>
      </c>
      <c r="D9" s="1">
        <v>180</v>
      </c>
      <c r="E9" s="1">
        <v>430</v>
      </c>
      <c r="F9" s="5">
        <f t="shared" si="0"/>
        <v>77400</v>
      </c>
      <c r="G9" s="4">
        <f t="shared" si="1"/>
        <v>5.4533771482360369E-2</v>
      </c>
      <c r="H9" s="40">
        <f t="shared" si="2"/>
        <v>0.10021321961620466</v>
      </c>
    </row>
    <row r="10" spans="2:8" ht="23.25" customHeight="1">
      <c r="B10" s="1" t="s">
        <v>34</v>
      </c>
      <c r="C10" s="3">
        <v>96583</v>
      </c>
      <c r="D10" s="1">
        <v>130</v>
      </c>
      <c r="E10" s="1">
        <v>900</v>
      </c>
      <c r="F10" s="5">
        <f t="shared" si="0"/>
        <v>117000</v>
      </c>
      <c r="G10" s="4">
        <f t="shared" si="1"/>
        <v>8.2434770845428468E-2</v>
      </c>
      <c r="H10" s="40">
        <f t="shared" si="2"/>
        <v>0.21139330938156808</v>
      </c>
    </row>
    <row r="11" spans="2:8" ht="23.25" customHeight="1">
      <c r="B11" s="1" t="s">
        <v>35</v>
      </c>
      <c r="C11" s="3">
        <v>91600</v>
      </c>
      <c r="D11" s="1">
        <v>250</v>
      </c>
      <c r="E11" s="1">
        <v>800</v>
      </c>
      <c r="F11" s="5">
        <f t="shared" si="0"/>
        <v>200000</v>
      </c>
      <c r="G11" s="4">
        <f t="shared" si="1"/>
        <v>0.1409141381973136</v>
      </c>
      <c r="H11" s="40">
        <f t="shared" si="2"/>
        <v>1.1834061135371181</v>
      </c>
    </row>
    <row r="12" spans="2:8" ht="23.25" customHeight="1" thickBot="1">
      <c r="B12" s="17" t="s">
        <v>36</v>
      </c>
      <c r="C12" s="20">
        <v>169871</v>
      </c>
      <c r="D12" s="17">
        <v>348</v>
      </c>
      <c r="E12" s="17">
        <v>900</v>
      </c>
      <c r="F12" s="18">
        <f t="shared" si="0"/>
        <v>313200</v>
      </c>
      <c r="G12" s="19">
        <f t="shared" si="1"/>
        <v>0.22067154041699311</v>
      </c>
      <c r="H12" s="41">
        <f t="shared" si="2"/>
        <v>0.84375202359437451</v>
      </c>
    </row>
    <row r="13" spans="2:8" ht="23.25" customHeight="1" thickTop="1" thickBot="1">
      <c r="B13" s="16" t="s">
        <v>10</v>
      </c>
      <c r="C13" s="21">
        <f>SUM(C3:C12)</f>
        <v>1076835</v>
      </c>
      <c r="D13" s="21">
        <f t="shared" ref="D13:F13" si="3">SUM(D3:D12)</f>
        <v>2020</v>
      </c>
      <c r="E13" s="21">
        <f t="shared" si="3"/>
        <v>7007</v>
      </c>
      <c r="F13" s="21">
        <f t="shared" si="3"/>
        <v>1419304</v>
      </c>
      <c r="G13" s="10">
        <f t="shared" si="1"/>
        <v>1</v>
      </c>
      <c r="H13" s="10"/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9"/>
  <sheetViews>
    <sheetView topLeftCell="A2" zoomScaleNormal="100" workbookViewId="0">
      <selection activeCell="A2" sqref="A2:F2"/>
    </sheetView>
  </sheetViews>
  <sheetFormatPr defaultRowHeight="23.25" customHeight="1"/>
  <cols>
    <col min="1" max="1" width="14" style="1" customWidth="1"/>
    <col min="2" max="2" width="22" style="1" customWidth="1"/>
    <col min="3" max="3" width="12" style="1" customWidth="1"/>
    <col min="4" max="4" width="10" style="1" customWidth="1"/>
    <col min="5" max="5" width="12" style="1" customWidth="1"/>
    <col min="6" max="6" width="14" style="1" customWidth="1"/>
    <col min="7" max="16384" width="9" style="1"/>
  </cols>
  <sheetData>
    <row r="1" spans="1:6" ht="23.25" hidden="1" customHeight="1"/>
    <row r="2" spans="1:6" ht="32.25" customHeight="1">
      <c r="A2" s="39" t="s">
        <v>38</v>
      </c>
      <c r="B2" s="39"/>
      <c r="C2" s="39"/>
      <c r="D2" s="39"/>
      <c r="E2" s="39"/>
      <c r="F2" s="39"/>
    </row>
    <row r="3" spans="1:6" customFormat="1" ht="18.75"/>
    <row r="4" spans="1:6" ht="23.25" customHeight="1" thickBot="1">
      <c r="A4" s="12" t="s">
        <v>30</v>
      </c>
      <c r="B4" s="13" t="s">
        <v>11</v>
      </c>
      <c r="C4" s="14" t="s">
        <v>1</v>
      </c>
      <c r="D4" s="14" t="s">
        <v>12</v>
      </c>
      <c r="E4" s="14" t="s">
        <v>13</v>
      </c>
      <c r="F4" s="15" t="s">
        <v>14</v>
      </c>
    </row>
    <row r="5" spans="1:6" ht="23.25" customHeight="1">
      <c r="A5" s="43">
        <v>46194</v>
      </c>
      <c r="B5" s="44" t="s">
        <v>15</v>
      </c>
      <c r="C5" s="45" t="s">
        <v>6</v>
      </c>
      <c r="D5" s="45">
        <v>27</v>
      </c>
      <c r="E5" s="45">
        <v>480</v>
      </c>
      <c r="F5" s="45">
        <f>D5*E5</f>
        <v>12960</v>
      </c>
    </row>
    <row r="6" spans="1:6" ht="23.25" customHeight="1">
      <c r="A6" s="46">
        <v>46116</v>
      </c>
      <c r="B6" s="47" t="s">
        <v>16</v>
      </c>
      <c r="C6" s="48" t="s">
        <v>6</v>
      </c>
      <c r="D6" s="48">
        <v>67</v>
      </c>
      <c r="E6" s="48">
        <v>520</v>
      </c>
      <c r="F6" s="48">
        <f t="shared" ref="F6:F19" si="0">D6*E6</f>
        <v>34840</v>
      </c>
    </row>
    <row r="7" spans="1:6" ht="23.25" customHeight="1">
      <c r="A7" s="46">
        <v>46148</v>
      </c>
      <c r="B7" s="47" t="s">
        <v>17</v>
      </c>
      <c r="C7" s="48" t="s">
        <v>6</v>
      </c>
      <c r="D7" s="48">
        <v>35</v>
      </c>
      <c r="E7" s="48">
        <v>380</v>
      </c>
      <c r="F7" s="48">
        <f t="shared" si="0"/>
        <v>13300</v>
      </c>
    </row>
    <row r="8" spans="1:6" ht="23.25" customHeight="1">
      <c r="A8" s="46">
        <v>46141</v>
      </c>
      <c r="B8" s="47" t="s">
        <v>18</v>
      </c>
      <c r="C8" s="48" t="s">
        <v>6</v>
      </c>
      <c r="D8" s="48">
        <v>28</v>
      </c>
      <c r="E8" s="48">
        <v>420</v>
      </c>
      <c r="F8" s="48">
        <f t="shared" si="0"/>
        <v>11760</v>
      </c>
    </row>
    <row r="9" spans="1:6" ht="23.25" customHeight="1">
      <c r="A9" s="46">
        <v>46126</v>
      </c>
      <c r="B9" s="47" t="s">
        <v>19</v>
      </c>
      <c r="C9" s="47" t="s">
        <v>7</v>
      </c>
      <c r="D9" s="48">
        <v>63</v>
      </c>
      <c r="E9" s="48">
        <v>680</v>
      </c>
      <c r="F9" s="48">
        <f t="shared" si="0"/>
        <v>42840</v>
      </c>
    </row>
    <row r="10" spans="1:6" ht="23.25" customHeight="1">
      <c r="A10" s="46">
        <v>46182</v>
      </c>
      <c r="B10" s="47" t="s">
        <v>20</v>
      </c>
      <c r="C10" s="47" t="s">
        <v>7</v>
      </c>
      <c r="D10" s="48">
        <v>25</v>
      </c>
      <c r="E10" s="48">
        <v>580</v>
      </c>
      <c r="F10" s="48">
        <f t="shared" si="0"/>
        <v>14500</v>
      </c>
    </row>
    <row r="11" spans="1:6" ht="23.25" customHeight="1">
      <c r="A11" s="46">
        <v>46188</v>
      </c>
      <c r="B11" s="47" t="s">
        <v>21</v>
      </c>
      <c r="C11" s="47" t="s">
        <v>7</v>
      </c>
      <c r="D11" s="48">
        <v>47</v>
      </c>
      <c r="E11" s="48">
        <v>420</v>
      </c>
      <c r="F11" s="48">
        <f t="shared" si="0"/>
        <v>19740</v>
      </c>
    </row>
    <row r="12" spans="1:6" ht="23.25" customHeight="1">
      <c r="A12" s="46">
        <v>46117</v>
      </c>
      <c r="B12" s="47" t="s">
        <v>22</v>
      </c>
      <c r="C12" s="47" t="s">
        <v>7</v>
      </c>
      <c r="D12" s="48">
        <v>21</v>
      </c>
      <c r="E12" s="48">
        <v>540</v>
      </c>
      <c r="F12" s="48">
        <f t="shared" si="0"/>
        <v>11340</v>
      </c>
    </row>
    <row r="13" spans="1:6" ht="23.25" customHeight="1">
      <c r="A13" s="46">
        <v>46124</v>
      </c>
      <c r="B13" s="47" t="s">
        <v>16</v>
      </c>
      <c r="C13" s="47" t="s">
        <v>6</v>
      </c>
      <c r="D13" s="48">
        <v>33</v>
      </c>
      <c r="E13" s="48">
        <v>520</v>
      </c>
      <c r="F13" s="48">
        <f t="shared" si="0"/>
        <v>17160</v>
      </c>
    </row>
    <row r="14" spans="1:6" ht="23.25" customHeight="1">
      <c r="A14" s="46">
        <v>46142</v>
      </c>
      <c r="B14" s="47" t="s">
        <v>15</v>
      </c>
      <c r="C14" s="47" t="s">
        <v>6</v>
      </c>
      <c r="D14" s="48">
        <v>52</v>
      </c>
      <c r="E14" s="48">
        <v>480</v>
      </c>
      <c r="F14" s="48">
        <f t="shared" si="0"/>
        <v>24960</v>
      </c>
    </row>
    <row r="15" spans="1:6" ht="23.25" customHeight="1">
      <c r="A15" s="46">
        <v>46190</v>
      </c>
      <c r="B15" s="47" t="s">
        <v>23</v>
      </c>
      <c r="C15" s="47" t="s">
        <v>7</v>
      </c>
      <c r="D15" s="48">
        <v>21</v>
      </c>
      <c r="E15" s="48">
        <v>620</v>
      </c>
      <c r="F15" s="48">
        <f t="shared" si="0"/>
        <v>13020</v>
      </c>
    </row>
    <row r="16" spans="1:6" ht="23.25" customHeight="1">
      <c r="A16" s="46">
        <v>46184</v>
      </c>
      <c r="B16" s="47" t="s">
        <v>17</v>
      </c>
      <c r="C16" s="47" t="s">
        <v>6</v>
      </c>
      <c r="D16" s="48">
        <v>32</v>
      </c>
      <c r="E16" s="48">
        <v>380</v>
      </c>
      <c r="F16" s="48">
        <f t="shared" si="0"/>
        <v>12160</v>
      </c>
    </row>
    <row r="17" spans="1:6" ht="23.25" customHeight="1">
      <c r="A17" s="46">
        <v>46196</v>
      </c>
      <c r="B17" s="47" t="s">
        <v>18</v>
      </c>
      <c r="C17" s="47" t="s">
        <v>6</v>
      </c>
      <c r="D17" s="48">
        <v>64</v>
      </c>
      <c r="E17" s="48">
        <v>420</v>
      </c>
      <c r="F17" s="48">
        <f t="shared" si="0"/>
        <v>26880</v>
      </c>
    </row>
    <row r="18" spans="1:6" ht="23.25" customHeight="1">
      <c r="A18" s="46">
        <v>46182</v>
      </c>
      <c r="B18" s="47" t="s">
        <v>16</v>
      </c>
      <c r="C18" s="47" t="s">
        <v>6</v>
      </c>
      <c r="D18" s="48">
        <v>46</v>
      </c>
      <c r="E18" s="48">
        <v>520</v>
      </c>
      <c r="F18" s="48">
        <f t="shared" si="0"/>
        <v>23920</v>
      </c>
    </row>
    <row r="19" spans="1:6" ht="23.25" customHeight="1">
      <c r="A19" s="46">
        <v>46141</v>
      </c>
      <c r="B19" s="47" t="s">
        <v>19</v>
      </c>
      <c r="C19" s="47" t="s">
        <v>7</v>
      </c>
      <c r="D19" s="48">
        <v>48</v>
      </c>
      <c r="E19" s="48">
        <v>680</v>
      </c>
      <c r="F19" s="48">
        <f t="shared" si="0"/>
        <v>32640</v>
      </c>
    </row>
  </sheetData>
  <mergeCells count="1">
    <mergeCell ref="A2:F2"/>
  </mergeCells>
  <phoneticPr fontId="1"/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H13"/>
  <sheetViews>
    <sheetView zoomScaleNormal="100" workbookViewId="0"/>
  </sheetViews>
  <sheetFormatPr defaultRowHeight="23.25" customHeight="1"/>
  <cols>
    <col min="1" max="1" width="3" style="1" customWidth="1"/>
    <col min="2" max="2" width="16" style="1" customWidth="1"/>
    <col min="3" max="8" width="14" style="1" customWidth="1"/>
    <col min="9" max="16384" width="9" style="1"/>
  </cols>
  <sheetData>
    <row r="1" spans="2:8" ht="36.75" customHeight="1">
      <c r="B1" s="22" t="s">
        <v>40</v>
      </c>
      <c r="C1" s="22"/>
      <c r="D1" s="23"/>
      <c r="E1" s="23"/>
      <c r="F1" s="23"/>
      <c r="G1" s="23"/>
      <c r="H1" s="23"/>
    </row>
    <row r="2" spans="2:8" customFormat="1" ht="21" customHeight="1"/>
    <row r="3" spans="2:8" ht="23.25" customHeight="1">
      <c r="B3" s="27" t="s">
        <v>11</v>
      </c>
      <c r="C3" s="27" t="s">
        <v>24</v>
      </c>
      <c r="D3" s="27" t="s">
        <v>25</v>
      </c>
      <c r="E3" s="27" t="s">
        <v>26</v>
      </c>
      <c r="F3" s="27" t="s">
        <v>27</v>
      </c>
      <c r="G3" s="27" t="s">
        <v>28</v>
      </c>
      <c r="H3" s="27" t="s">
        <v>29</v>
      </c>
    </row>
    <row r="4" spans="2:8" ht="23.25" customHeight="1">
      <c r="B4" s="24" t="s">
        <v>15</v>
      </c>
      <c r="C4" s="28">
        <v>6827</v>
      </c>
      <c r="D4" s="28">
        <v>4800</v>
      </c>
      <c r="E4" s="28">
        <v>4787</v>
      </c>
      <c r="F4" s="28">
        <v>3763</v>
      </c>
      <c r="G4" s="28">
        <v>2759</v>
      </c>
      <c r="H4" s="28">
        <v>4817</v>
      </c>
    </row>
    <row r="5" spans="2:8" ht="23.25" customHeight="1">
      <c r="B5" s="25" t="s">
        <v>16</v>
      </c>
      <c r="C5" s="29">
        <v>2355</v>
      </c>
      <c r="D5" s="29">
        <v>5763</v>
      </c>
      <c r="E5" s="29">
        <v>2645</v>
      </c>
      <c r="F5" s="29">
        <v>7149</v>
      </c>
      <c r="G5" s="29">
        <v>4962</v>
      </c>
      <c r="H5" s="29">
        <v>4800</v>
      </c>
    </row>
    <row r="6" spans="2:8" ht="23.25" customHeight="1">
      <c r="B6" s="25" t="s">
        <v>17</v>
      </c>
      <c r="C6" s="29">
        <v>4800</v>
      </c>
      <c r="D6" s="29">
        <v>2653</v>
      </c>
      <c r="E6" s="29">
        <v>4800</v>
      </c>
      <c r="F6" s="29">
        <v>7207</v>
      </c>
      <c r="G6" s="29">
        <v>5032</v>
      </c>
      <c r="H6" s="29">
        <v>4187</v>
      </c>
    </row>
    <row r="7" spans="2:8" ht="23.25" customHeight="1">
      <c r="B7" s="25" t="s">
        <v>18</v>
      </c>
      <c r="C7" s="29">
        <v>7599</v>
      </c>
      <c r="D7" s="29">
        <v>6990</v>
      </c>
      <c r="E7" s="29">
        <v>6375</v>
      </c>
      <c r="F7" s="29">
        <v>4800</v>
      </c>
      <c r="G7" s="29">
        <v>7242</v>
      </c>
      <c r="H7" s="29">
        <v>3799</v>
      </c>
    </row>
    <row r="8" spans="2:8" ht="23.25" customHeight="1">
      <c r="B8" s="25" t="s">
        <v>19</v>
      </c>
      <c r="C8" s="29">
        <v>4656</v>
      </c>
      <c r="D8" s="29">
        <v>4800</v>
      </c>
      <c r="E8" s="29">
        <v>4193</v>
      </c>
      <c r="F8" s="29">
        <v>4800</v>
      </c>
      <c r="G8" s="29">
        <v>4800</v>
      </c>
      <c r="H8" s="3">
        <v>7111</v>
      </c>
    </row>
    <row r="9" spans="2:8" ht="23.25" customHeight="1">
      <c r="B9" s="26" t="s">
        <v>20</v>
      </c>
      <c r="C9" s="30">
        <v>3170</v>
      </c>
      <c r="D9" s="30">
        <v>6598</v>
      </c>
      <c r="E9" s="30">
        <v>4800</v>
      </c>
      <c r="F9" s="30">
        <v>4800</v>
      </c>
      <c r="G9" s="30">
        <v>3133</v>
      </c>
      <c r="H9" s="30">
        <v>6042</v>
      </c>
    </row>
    <row r="13" spans="2:8" ht="23.25" customHeight="1">
      <c r="B13" s="2"/>
    </row>
  </sheetData>
  <phoneticPr fontId="1"/>
  <pageMargins left="0.25" right="0.25" top="0.75" bottom="0.75" header="0.3" footer="0.3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/>
  </sheetViews>
  <sheetFormatPr defaultRowHeight="23.25" customHeight="1"/>
  <cols>
    <col min="1" max="1" width="3.625" style="1" customWidth="1"/>
    <col min="2" max="2" width="17.125" style="1" bestFit="1" customWidth="1"/>
    <col min="3" max="4" width="14.5" style="1" customWidth="1"/>
    <col min="5" max="16384" width="9" style="1"/>
  </cols>
  <sheetData>
    <row r="1" spans="1:4" ht="19.5" customHeight="1"/>
    <row r="2" spans="1:4" ht="25.5">
      <c r="B2" s="31" t="s">
        <v>46</v>
      </c>
      <c r="C2" s="32"/>
      <c r="D2" s="32"/>
    </row>
    <row r="3" spans="1:4" ht="23.25" customHeight="1">
      <c r="B3" s="33" t="s">
        <v>11</v>
      </c>
      <c r="C3" s="34" t="s">
        <v>42</v>
      </c>
      <c r="D3" s="35" t="s">
        <v>43</v>
      </c>
    </row>
    <row r="4" spans="1:4" ht="23.25" customHeight="1">
      <c r="B4" s="36" t="s">
        <v>44</v>
      </c>
      <c r="C4" s="38">
        <v>46206</v>
      </c>
      <c r="D4" s="42">
        <v>500</v>
      </c>
    </row>
    <row r="5" spans="1:4" ht="23.25" customHeight="1">
      <c r="A5" s="3"/>
      <c r="B5" s="37" t="s">
        <v>15</v>
      </c>
      <c r="C5" s="38">
        <v>46207</v>
      </c>
      <c r="D5" s="42">
        <v>450</v>
      </c>
    </row>
    <row r="6" spans="1:4" ht="23.25" customHeight="1">
      <c r="A6" s="3"/>
      <c r="B6" s="37" t="s">
        <v>20</v>
      </c>
      <c r="C6" s="38">
        <v>46208</v>
      </c>
      <c r="D6" s="42">
        <v>600</v>
      </c>
    </row>
    <row r="7" spans="1:4" ht="23.25" customHeight="1">
      <c r="A7" s="3"/>
      <c r="B7" s="37" t="s">
        <v>45</v>
      </c>
      <c r="C7" s="38">
        <v>46209</v>
      </c>
      <c r="D7" s="42">
        <v>-350</v>
      </c>
    </row>
    <row r="8" spans="1:4" ht="23.25" customHeight="1">
      <c r="A8" s="3"/>
      <c r="B8" s="37" t="s">
        <v>47</v>
      </c>
      <c r="C8" s="38">
        <v>46215</v>
      </c>
      <c r="D8" s="42">
        <v>420</v>
      </c>
    </row>
    <row r="9" spans="1:4" ht="23.25" customHeight="1">
      <c r="B9" s="36" t="s">
        <v>48</v>
      </c>
      <c r="C9" s="38">
        <v>46216</v>
      </c>
      <c r="D9" s="42">
        <v>580</v>
      </c>
    </row>
    <row r="10" spans="1:4" ht="23.25" customHeight="1">
      <c r="B10" s="36" t="s">
        <v>49</v>
      </c>
      <c r="C10" s="38">
        <v>46217</v>
      </c>
      <c r="D10" s="42">
        <v>380</v>
      </c>
    </row>
    <row r="11" spans="1:4" ht="23.25" customHeight="1">
      <c r="B11" s="36" t="s">
        <v>50</v>
      </c>
      <c r="C11" s="38">
        <v>46218</v>
      </c>
      <c r="D11" s="42">
        <v>350</v>
      </c>
    </row>
    <row r="12" spans="1:4" ht="23.25" customHeight="1">
      <c r="B12" s="36" t="s">
        <v>51</v>
      </c>
      <c r="C12" s="38">
        <v>46219</v>
      </c>
      <c r="D12" s="42">
        <v>620</v>
      </c>
    </row>
    <row r="13" spans="1:4" ht="23.25" customHeight="1">
      <c r="B13" s="36" t="s">
        <v>52</v>
      </c>
      <c r="C13" s="38">
        <v>46220</v>
      </c>
      <c r="D13" s="42">
        <v>540</v>
      </c>
    </row>
    <row r="14" spans="1:4" ht="23.25" customHeight="1">
      <c r="B14" s="36" t="s">
        <v>21</v>
      </c>
      <c r="C14" s="38">
        <v>46221</v>
      </c>
      <c r="D14" s="42">
        <v>460</v>
      </c>
    </row>
    <row r="15" spans="1:4" ht="23.25" customHeight="1">
      <c r="B15" s="36" t="s">
        <v>22</v>
      </c>
      <c r="C15" s="38">
        <v>46222</v>
      </c>
      <c r="D15" s="42">
        <v>680</v>
      </c>
    </row>
    <row r="16" spans="1:4" ht="23.25" customHeight="1">
      <c r="B16" s="36" t="s">
        <v>53</v>
      </c>
      <c r="C16" s="38">
        <v>46223</v>
      </c>
      <c r="D16" s="42">
        <v>390</v>
      </c>
    </row>
    <row r="17" spans="2:4" ht="23.25" customHeight="1">
      <c r="B17" s="36" t="s">
        <v>54</v>
      </c>
      <c r="C17" s="38">
        <v>46224</v>
      </c>
      <c r="D17" s="42">
        <v>750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注文集計報告</vt:lpstr>
      <vt:lpstr>仕入明細</vt:lpstr>
      <vt:lpstr>下半期売上</vt:lpstr>
      <vt:lpstr>返品一覧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cp:lastPrinted>2026-07-07T07:57:58Z</cp:lastPrinted>
  <dcterms:created xsi:type="dcterms:W3CDTF">2026-06-25T05:00:50Z</dcterms:created>
  <dcterms:modified xsi:type="dcterms:W3CDTF">2026-07-07T12:54:58Z</dcterms:modified>
</cp:coreProperties>
</file>