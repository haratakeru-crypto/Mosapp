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類題 操作ファイル\"/>
    </mc:Choice>
  </mc:AlternateContent>
  <xr:revisionPtr revIDLastSave="0" documentId="13_ncr:1_{EB13FE9D-5365-4F8B-91FA-081506CC4889}" xr6:coauthVersionLast="47" xr6:coauthVersionMax="47" xr10:uidLastSave="{00000000-0000-0000-0000-000000000000}"/>
  <bookViews>
    <workbookView xWindow="-28920" yWindow="555" windowWidth="29040" windowHeight="15720" xr2:uid="{00000000-000D-0000-FFFF-FFFF00000000}"/>
  </bookViews>
  <sheets>
    <sheet name="診療科構成" sheetId="5" r:id="rId1"/>
    <sheet name="処置別売上" sheetId="6" r:id="rId2"/>
    <sheet name="月次収益推移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7" l="1"/>
  <c r="E9" i="7"/>
  <c r="F9" i="7"/>
  <c r="G9" i="7"/>
  <c r="H9" i="7"/>
  <c r="I9" i="7"/>
  <c r="J9" i="7"/>
  <c r="K9" i="7"/>
  <c r="C9" i="7"/>
</calcChain>
</file>

<file path=xl/sharedStrings.xml><?xml version="1.0" encoding="utf-8"?>
<sst xmlns="http://schemas.openxmlformats.org/spreadsheetml/2006/main" count="35" uniqueCount="35">
  <si>
    <t>内科</t>
  </si>
  <si>
    <t>外科</t>
  </si>
  <si>
    <t>小児科</t>
  </si>
  <si>
    <t>整形外科</t>
  </si>
  <si>
    <t>皮膚科</t>
  </si>
  <si>
    <t>眼科</t>
  </si>
  <si>
    <t>内視鏡検査</t>
  </si>
  <si>
    <t>予防接種</t>
  </si>
  <si>
    <t>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</si>
  <si>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</si>
  <si>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</si>
  <si>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</si>
  <si>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</si>
  <si>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</si>
  <si>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</si>
  <si>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</si>
  <si>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</si>
  <si>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</si>
  <si>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診療科別患者数</t>
  </si>
  <si>
    <t>処置別売上実績</t>
  </si>
  <si>
    <t>月別診療科収益</t>
  </si>
  <si>
    <t>診療科</t>
  </si>
  <si>
    <t>患者数</t>
  </si>
  <si>
    <t>耳鼻咽喉科</t>
  </si>
  <si>
    <t>処置名</t>
  </si>
  <si>
    <t>売上</t>
  </si>
  <si>
    <t>健康診断</t>
  </si>
  <si>
    <t>血液検査</t>
  </si>
  <si>
    <t>MRI検査</t>
  </si>
  <si>
    <t>CT検査</t>
  </si>
  <si>
    <t>超音波検査</t>
  </si>
  <si>
    <t>内　科</t>
    <phoneticPr fontId="1"/>
  </si>
  <si>
    <t>外　科</t>
    <phoneticPr fontId="1"/>
  </si>
  <si>
    <t>合　計</t>
    <rPh sb="0" eb="1">
      <t>ア</t>
    </rPh>
    <rPh sb="2" eb="3">
      <t>ケイ</t>
    </rPh>
    <phoneticPr fontId="1"/>
  </si>
  <si>
    <t>小児科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</si>
</sst>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HGｺﾞｼｯｸM"/>
      <family val="2"/>
      <scheme val="minor"/>
    </font>
    <font>
      <sz val="6"/>
      <name val="HGｺﾞｼｯｸM"/>
      <family val="3"/>
      <charset val="128"/>
      <scheme val="minor"/>
    </font>
    <font>
      <sz val="11"/>
      <color theme="1"/>
      <name val="HGｺﾞｼｯｸM"/>
      <family val="2"/>
      <scheme val="minor"/>
    </font>
    <font>
      <b/>
      <sz val="11"/>
      <color theme="0"/>
      <name val="HGｺﾞｼｯｸM"/>
      <family val="2"/>
      <scheme val="minor"/>
    </font>
    <font>
      <b/>
      <sz val="12"/>
      <color theme="0"/>
      <name val="HGｺﾞｼｯｸM"/>
      <family val="3"/>
      <charset val="128"/>
      <scheme val="minor"/>
    </font>
    <font>
      <b/>
      <sz val="14"/>
      <color theme="0"/>
      <name val="HGｺﾞｼｯｸM"/>
      <family val="3"/>
      <charset val="128"/>
      <scheme val="minor"/>
    </font>
    <font>
      <b/>
      <sz val="14"/>
      <color theme="1"/>
      <name val="HGｺﾞｼｯｸM"/>
      <family val="3"/>
      <charset val="128"/>
      <scheme val="minor"/>
    </font>
    <font>
      <sz val="14"/>
      <color theme="1"/>
      <name val="HGｺﾞｼｯｸM"/>
      <family val="3"/>
      <charset val="128"/>
      <scheme val="minor"/>
    </font>
    <font>
      <b/>
      <sz val="11"/>
      <name val="HGｺﾞｼｯｸM"/>
      <family val="2"/>
      <scheme val="minor"/>
    </font>
    <font>
      <sz val="11"/>
      <name val="HGｺﾞｼｯｸM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/>
      <bottom/>
      <diagonal/>
    </border>
    <border>
      <left/>
      <right style="thin">
        <color theme="7"/>
      </right>
      <top/>
      <bottom/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2" fillId="0" borderId="0" applyFont="0" applyFill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8" fontId="0" fillId="0" borderId="0" xfId="1" applyFont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38" fontId="0" fillId="0" borderId="4" xfId="1" applyFont="1" applyBorder="1" applyAlignment="1">
      <alignment vertical="center"/>
    </xf>
    <xf numFmtId="0" fontId="0" fillId="0" borderId="1" xfId="0" applyBorder="1" applyAlignment="1">
      <alignment vertical="center"/>
    </xf>
    <xf numFmtId="38" fontId="0" fillId="0" borderId="2" xfId="1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38" fontId="0" fillId="0" borderId="8" xfId="1" applyFont="1" applyBorder="1" applyAlignment="1">
      <alignment vertical="center"/>
    </xf>
    <xf numFmtId="0" fontId="0" fillId="0" borderId="9" xfId="0" applyBorder="1" applyAlignment="1">
      <alignment vertical="center"/>
    </xf>
    <xf numFmtId="38" fontId="0" fillId="0" borderId="10" xfId="1" applyFont="1" applyBorder="1" applyAlignment="1">
      <alignment vertical="center"/>
    </xf>
    <xf numFmtId="38" fontId="4" fillId="6" borderId="11" xfId="1" applyFont="1" applyFill="1" applyBorder="1" applyAlignment="1">
      <alignment horizontal="center" vertical="center"/>
    </xf>
    <xf numFmtId="38" fontId="8" fillId="0" borderId="11" xfId="1" applyFont="1" applyBorder="1" applyAlignment="1">
      <alignment horizontal="center" vertical="center"/>
    </xf>
    <xf numFmtId="38" fontId="9" fillId="0" borderId="11" xfId="1" applyFont="1" applyBorder="1" applyAlignment="1">
      <alignment vertical="center"/>
    </xf>
    <xf numFmtId="38" fontId="0" fillId="0" borderId="11" xfId="1" applyFont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診療科構成!$C$5</c:f>
              <c:strCache>
                <c:ptCount val="1"/>
                <c:pt idx="0">
                  <c:v>患者数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034-46CC-9E7E-FA94A5F60E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034-46CC-9E7E-FA94A5F60E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034-46CC-9E7E-FA94A5F60E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034-46CC-9E7E-FA94A5F60E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034-46CC-9E7E-FA94A5F60E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034-46CC-9E7E-FA94A5F60E4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034-46CC-9E7E-FA94A5F60E4E}"/>
              </c:ext>
            </c:extLst>
          </c:dPt>
          <c:cat>
            <c:strRef>
              <c:f>診療科構成!$B$6:$B$12</c:f>
              <c:strCache>
                <c:ptCount val="7"/>
                <c:pt idx="0">
                  <c:v>内科</c:v>
                </c:pt>
                <c:pt idx="1">
                  <c:v>外科</c:v>
                </c:pt>
                <c:pt idx="2">
                  <c:v>小児科</c:v>
                </c:pt>
                <c:pt idx="3">
                  <c:v>整形外科</c:v>
                </c:pt>
                <c:pt idx="4">
                  <c:v>皮膚科</c:v>
                </c:pt>
                <c:pt idx="5">
                  <c:v>眼科</c:v>
                </c:pt>
                <c:pt idx="6">
                  <c:v>耳鼻咽喉科</c:v>
                </c:pt>
              </c:strCache>
            </c:strRef>
          </c:cat>
          <c:val>
            <c:numRef>
              <c:f>診療科構成!$C$6:$C$12</c:f>
              <c:numCache>
                <c:formatCode>#,##0_);[Red]\(#,##0\)</c:formatCode>
                <c:ptCount val="7"/>
                <c:pt idx="0">
                  <c:v>185</c:v>
                </c:pt>
                <c:pt idx="1">
                  <c:v>132</c:v>
                </c:pt>
                <c:pt idx="2">
                  <c:v>98</c:v>
                </c:pt>
                <c:pt idx="3">
                  <c:v>126</c:v>
                </c:pt>
                <c:pt idx="4">
                  <c:v>84</c:v>
                </c:pt>
                <c:pt idx="5">
                  <c:v>79</c:v>
                </c:pt>
                <c:pt idx="6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5-4C9A-BD0D-56D8D9437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0" i="0" u="none" strike="noStrike" baseline="0"/>
              <a:t>処置別売上実績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処置別売上!$C$5</c:f>
              <c:strCache>
                <c:ptCount val="1"/>
                <c:pt idx="0">
                  <c:v>売上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処置別売上!$B$6:$B$12</c:f>
              <c:strCache>
                <c:ptCount val="7"/>
                <c:pt idx="0">
                  <c:v>健康診断</c:v>
                </c:pt>
                <c:pt idx="1">
                  <c:v>予防接種</c:v>
                </c:pt>
                <c:pt idx="2">
                  <c:v>血液検査</c:v>
                </c:pt>
                <c:pt idx="3">
                  <c:v>MRI検査</c:v>
                </c:pt>
                <c:pt idx="4">
                  <c:v>CT検査</c:v>
                </c:pt>
                <c:pt idx="5">
                  <c:v>超音波検査</c:v>
                </c:pt>
                <c:pt idx="6">
                  <c:v>内視鏡検査</c:v>
                </c:pt>
              </c:strCache>
            </c:strRef>
          </c:cat>
          <c:val>
            <c:numRef>
              <c:f>処置別売上!$C$6:$C$12</c:f>
              <c:numCache>
                <c:formatCode>#,##0_);[Red]\(#,##0\)</c:formatCode>
                <c:ptCount val="7"/>
                <c:pt idx="0">
                  <c:v>985000</c:v>
                </c:pt>
                <c:pt idx="1">
                  <c:v>628000</c:v>
                </c:pt>
                <c:pt idx="2">
                  <c:v>512000</c:v>
                </c:pt>
                <c:pt idx="3">
                  <c:v>1358000</c:v>
                </c:pt>
                <c:pt idx="4">
                  <c:v>1186000</c:v>
                </c:pt>
                <c:pt idx="5">
                  <c:v>786000</c:v>
                </c:pt>
                <c:pt idx="6">
                  <c:v>1524000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6-4D1D-BE69-5089FF22D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6566960"/>
        <c:axId val="1256551120"/>
      </c:barChart>
      <c:catAx>
        <c:axId val="125656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6551120"/>
        <c:crosses val="autoZero"/>
        <c:auto val="1"/>
        <c:lblAlgn val="ctr"/>
        <c:lblOffset val="100"/>
        <c:noMultiLvlLbl val="0"/>
      </c:catAx>
      <c:valAx>
        <c:axId val="125655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656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600" b="1" i="0" u="none" strike="noStrike" baseline="0"/>
              <a:t>月別収益推移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07226577593811E-2"/>
          <c:y val="0.13702770780856424"/>
          <c:w val="0.88639858948929084"/>
          <c:h val="0.699339270248649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月次収益推移!$B$6</c:f>
              <c:strCache>
                <c:ptCount val="1"/>
                <c:pt idx="0">
                  <c:v>内　科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7000"/>
                    <a:satMod val="115000"/>
                    <a:lumMod val="114000"/>
                  </a:schemeClr>
                </a:gs>
                <a:gs pos="60000">
                  <a:schemeClr val="accent2">
                    <a:tint val="100000"/>
                    <a:shade val="96000"/>
                    <a:satMod val="100000"/>
                    <a:lumMod val="108000"/>
                  </a:schemeClr>
                </a:gs>
                <a:gs pos="100000">
                  <a:schemeClr val="accent2">
                    <a:shade val="91000"/>
                    <a:satMod val="100000"/>
                  </a:schemeClr>
                </a:gs>
              </a:gsLst>
              <a:lin ang="5400000" scaled="0"/>
            </a:gradFill>
            <a:ln>
              <a:noFill/>
            </a:ln>
            <a:effectLst/>
            <a:scene3d>
              <a:camera prst="orthographicFront">
                <a:rot lat="0" lon="0" rev="0"/>
              </a:camera>
              <a:lightRig rig="threePt" dir="t">
                <a:rot lat="0" lon="0" rev="4800000"/>
              </a:lightRig>
            </a:scene3d>
            <a:sp3d>
              <a:bevelT w="50800" h="25400"/>
            </a:sp3d>
          </c:spPr>
          <c:invertIfNegative val="0"/>
          <c:cat>
            <c:strRef>
              <c:f>月次収益推移!$C$5:$I$5</c:f>
              <c:strCache>
                <c:ptCount val="7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</c:strCache>
            </c:strRef>
          </c:cat>
          <c:val>
            <c:numRef>
              <c:f>月次収益推移!$C$6:$I$6</c:f>
              <c:numCache>
                <c:formatCode>#,##0_);[Red]\(#,##0\)</c:formatCode>
                <c:ptCount val="7"/>
                <c:pt idx="0">
                  <c:v>3250000</c:v>
                </c:pt>
                <c:pt idx="1">
                  <c:v>3380000</c:v>
                </c:pt>
                <c:pt idx="2">
                  <c:v>3520000</c:v>
                </c:pt>
                <c:pt idx="3">
                  <c:v>3490000</c:v>
                </c:pt>
                <c:pt idx="4">
                  <c:v>3610000</c:v>
                </c:pt>
                <c:pt idx="5">
                  <c:v>3740000</c:v>
                </c:pt>
                <c:pt idx="6">
                  <c:v>3820000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7-48FB-AF66-8547AF9FCFAF}"/>
            </c:ext>
          </c:extLst>
        </c:ser>
        <c:ser>
          <c:idx val="1"/>
          <c:order val="1"/>
          <c:tx>
            <c:strRef>
              <c:f>月次収益推移!$B$7</c:f>
              <c:strCache>
                <c:ptCount val="1"/>
                <c:pt idx="0">
                  <c:v>外　科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97000"/>
                    <a:satMod val="115000"/>
                    <a:lumMod val="114000"/>
                  </a:schemeClr>
                </a:gs>
                <a:gs pos="60000">
                  <a:schemeClr val="accent4">
                    <a:tint val="100000"/>
                    <a:shade val="96000"/>
                    <a:satMod val="100000"/>
                    <a:lumMod val="108000"/>
                  </a:schemeClr>
                </a:gs>
                <a:gs pos="100000">
                  <a:schemeClr val="accent4">
                    <a:shade val="91000"/>
                    <a:satMod val="100000"/>
                  </a:schemeClr>
                </a:gs>
              </a:gsLst>
              <a:lin ang="5400000" scaled="0"/>
            </a:gradFill>
            <a:ln>
              <a:noFill/>
            </a:ln>
            <a:effectLst/>
            <a:scene3d>
              <a:camera prst="orthographicFront">
                <a:rot lat="0" lon="0" rev="0"/>
              </a:camera>
              <a:lightRig rig="threePt" dir="t">
                <a:rot lat="0" lon="0" rev="4800000"/>
              </a:lightRig>
            </a:scene3d>
            <a:sp3d>
              <a:bevelT w="50800" h="25400"/>
            </a:sp3d>
          </c:spPr>
          <c:invertIfNegative val="0"/>
          <c:cat>
            <c:strRef>
              <c:f>月次収益推移!$C$5:$I$5</c:f>
              <c:strCache>
                <c:ptCount val="7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</c:strCache>
            </c:strRef>
          </c:cat>
          <c:val>
            <c:numRef>
              <c:f>月次収益推移!$C$7:$I$7</c:f>
              <c:numCache>
                <c:formatCode>#,##0_);[Red]\(#,##0\)</c:formatCode>
                <c:ptCount val="7"/>
                <c:pt idx="0">
                  <c:v>2840000</c:v>
                </c:pt>
                <c:pt idx="1">
                  <c:v>2910000</c:v>
                </c:pt>
                <c:pt idx="2">
                  <c:v>3050000</c:v>
                </c:pt>
                <c:pt idx="3">
                  <c:v>3120000</c:v>
                </c:pt>
                <c:pt idx="4">
                  <c:v>3180000</c:v>
                </c:pt>
                <c:pt idx="5">
                  <c:v>3260000</c:v>
                </c:pt>
                <c:pt idx="6">
                  <c:v>3350000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47-48FB-AF66-8547AF9FCFAF}"/>
            </c:ext>
          </c:extLst>
        </c:ser>
        <c:ser>
          <c:idx val="2"/>
          <c:order val="2"/>
          <c:tx>
            <c:strRef>
              <c:f>月次収益推移!$B$8</c:f>
              <c:strCache>
                <c:ptCount val="1"/>
                <c:pt idx="0">
                  <c:v>小児科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97000"/>
                    <a:satMod val="115000"/>
                    <a:lumMod val="114000"/>
                  </a:schemeClr>
                </a:gs>
                <a:gs pos="60000">
                  <a:schemeClr val="accent6">
                    <a:tint val="100000"/>
                    <a:shade val="96000"/>
                    <a:satMod val="100000"/>
                    <a:lumMod val="108000"/>
                  </a:schemeClr>
                </a:gs>
                <a:gs pos="100000">
                  <a:schemeClr val="accent6">
                    <a:shade val="91000"/>
                    <a:satMod val="100000"/>
                  </a:schemeClr>
                </a:gs>
              </a:gsLst>
              <a:lin ang="5400000" scaled="0"/>
            </a:gradFill>
            <a:ln>
              <a:noFill/>
            </a:ln>
            <a:effectLst/>
            <a:scene3d>
              <a:camera prst="orthographicFront">
                <a:rot lat="0" lon="0" rev="0"/>
              </a:camera>
              <a:lightRig rig="threePt" dir="t">
                <a:rot lat="0" lon="0" rev="4800000"/>
              </a:lightRig>
            </a:scene3d>
            <a:sp3d>
              <a:bevelT w="50800" h="25400"/>
            </a:sp3d>
          </c:spPr>
          <c:invertIfNegative val="0"/>
          <c:cat>
            <c:strRef>
              <c:f>月次収益推移!$C$5:$I$5</c:f>
              <c:strCache>
                <c:ptCount val="7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</c:strCache>
            </c:strRef>
          </c:cat>
          <c:val>
            <c:numRef>
              <c:f>月次収益推移!$C$8:$I$8</c:f>
              <c:numCache>
                <c:formatCode>#,##0_);[Red]\(#,##0\)</c:formatCode>
                <c:ptCount val="7"/>
                <c:pt idx="0">
                  <c:v>2850000</c:v>
                </c:pt>
                <c:pt idx="1">
                  <c:v>2920000</c:v>
                </c:pt>
                <c:pt idx="2">
                  <c:v>3010000</c:v>
                </c:pt>
                <c:pt idx="3">
                  <c:v>3080000</c:v>
                </c:pt>
                <c:pt idx="4">
                  <c:v>3150000</c:v>
                </c:pt>
                <c:pt idx="5">
                  <c:v>3220000</c:v>
                </c:pt>
                <c:pt idx="6">
                  <c:v>3300000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47-48FB-AF66-8547AF9FC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6575120"/>
        <c:axId val="1256569840"/>
      </c:barChart>
      <c:catAx>
        <c:axId val="125657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6569840"/>
        <c:crosses val="autoZero"/>
        <c:auto val="1"/>
        <c:lblAlgn val="ctr"/>
        <c:lblOffset val="100"/>
        <c:noMultiLvlLbl val="0"/>
      </c:catAx>
      <c:valAx>
        <c:axId val="125656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単位</a:t>
                </a:r>
                <a:r>
                  <a:rPr lang="en-US" altLang="ja-JP"/>
                  <a:t>:</a:t>
                </a:r>
                <a:r>
                  <a:rPr lang="ja-JP" altLang="en-US"/>
                  <a:t>円</a:t>
                </a:r>
              </a:p>
            </c:rich>
          </c:tx>
          <c:layout>
            <c:manualLayout>
              <c:xMode val="edge"/>
              <c:yMode val="edge"/>
              <c:x val="2.7626317702653582E-2"/>
              <c:y val="3.883826864211244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657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3</xdr:row>
      <xdr:rowOff>204786</xdr:rowOff>
    </xdr:from>
    <xdr:to>
      <xdr:col>12</xdr:col>
      <xdr:colOff>0</xdr:colOff>
      <xdr:row>16</xdr:row>
      <xdr:rowOff>209549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A56659D-876D-F90E-965C-5EEF0FEC8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</xdr:colOff>
      <xdr:row>4</xdr:row>
      <xdr:rowOff>4761</xdr:rowOff>
    </xdr:from>
    <xdr:to>
      <xdr:col>13</xdr:col>
      <xdr:colOff>676275</xdr:colOff>
      <xdr:row>18</xdr:row>
      <xdr:rowOff>200024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B2EA7ED-8388-EEF8-B570-C7BC44D71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10</xdr:row>
      <xdr:rowOff>190500</xdr:rowOff>
    </xdr:from>
    <xdr:to>
      <xdr:col>11</xdr:col>
      <xdr:colOff>0</xdr:colOff>
      <xdr:row>28</xdr:row>
      <xdr:rowOff>200025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C5FA0FC-53B2-D121-7461-01B26234F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紫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Candara">
      <a:maj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反射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alpha val="100000"/>
                <a:satMod val="140000"/>
                <a:lumMod val="105000"/>
              </a:schemeClr>
            </a:gs>
            <a:gs pos="41000">
              <a:schemeClr val="phClr">
                <a:tint val="57000"/>
                <a:satMod val="160000"/>
                <a:lumMod val="99000"/>
              </a:schemeClr>
            </a:gs>
            <a:gs pos="100000">
              <a:schemeClr val="phClr">
                <a:tint val="80000"/>
                <a:satMod val="180000"/>
                <a:lumMod val="104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7000"/>
                <a:satMod val="115000"/>
                <a:lumMod val="114000"/>
              </a:schemeClr>
            </a:gs>
            <a:gs pos="60000">
              <a:schemeClr val="phClr">
                <a:tint val="100000"/>
                <a:shade val="96000"/>
                <a:satMod val="100000"/>
                <a:lumMod val="108000"/>
              </a:schemeClr>
            </a:gs>
            <a:gs pos="100000">
              <a:schemeClr val="phClr">
                <a:shade val="91000"/>
                <a:sat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50800" dist="31750" dir="5400000" sy="98000" rotWithShape="0">
              <a:srgbClr val="000000">
                <a:alpha val="47000"/>
              </a:srgbClr>
            </a:outerShdw>
          </a:effectLst>
          <a:scene3d>
            <a:camera prst="orthographicFront">
              <a:rot lat="0" lon="0" rev="0"/>
            </a:camera>
            <a:lightRig rig="twoPt" dir="t">
              <a:rot lat="0" lon="0" rev="4800000"/>
            </a:lightRig>
          </a:scene3d>
          <a:sp3d prstMaterial="matte">
            <a:bevelT w="25400" h="44450"/>
          </a:sp3d>
        </a:effectStyle>
        <a:effectStyle>
          <a:effectLst>
            <a:reflection blurRad="25400" stA="32000" endPos="28000" dist="8889" dir="5400000" sy="-100000" rotWithShape="0"/>
          </a:effectLst>
          <a:scene3d>
            <a:camera prst="orthographicFront">
              <a:rot lat="0" lon="0" rev="0"/>
            </a:camera>
            <a:lightRig rig="threePt" dir="t">
              <a:rot lat="0" lon="0" rev="4800000"/>
            </a:lightRig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969E8-1E12-4344-A4F8-6078F02BC547}">
  <dimension ref="A2:M12"/>
  <sheetViews>
    <sheetView tabSelected="1" workbookViewId="0"/>
  </sheetViews>
  <sheetFormatPr defaultRowHeight="16.5" customHeight="1" x14ac:dyDescent="0.15"/>
  <cols>
    <col min="1" max="1" width="2.5" style="1" customWidth="1"/>
    <col min="2" max="2" width="16.25" style="1" customWidth="1"/>
    <col min="3" max="3" width="10.75" style="1" customWidth="1"/>
    <col min="4" max="16384" width="9" style="1"/>
  </cols>
  <sheetData>
    <row r="2" spans="1:13" ht="23.25" customHeight="1" x14ac:dyDescent="0.15">
      <c r="B2" s="12" t="s">
        <v>18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s="11" customFormat="1" ht="16.5" customHeight="1" x14ac:dyDescent="0.15">
      <c r="A3" s="10"/>
    </row>
    <row r="5" spans="1:13" ht="16.5" customHeight="1" x14ac:dyDescent="0.15">
      <c r="B5" s="4" t="s">
        <v>21</v>
      </c>
      <c r="C5" s="5" t="s">
        <v>22</v>
      </c>
    </row>
    <row r="6" spans="1:13" ht="16.5" customHeight="1" x14ac:dyDescent="0.15">
      <c r="B6" s="6" t="s">
        <v>0</v>
      </c>
      <c r="C6" s="7">
        <v>185</v>
      </c>
    </row>
    <row r="7" spans="1:13" ht="16.5" customHeight="1" x14ac:dyDescent="0.15">
      <c r="B7" s="6" t="s">
        <v>1</v>
      </c>
      <c r="C7" s="7">
        <v>132</v>
      </c>
    </row>
    <row r="8" spans="1:13" ht="16.5" customHeight="1" x14ac:dyDescent="0.15">
      <c r="B8" s="6" t="s">
        <v>2</v>
      </c>
      <c r="C8" s="7">
        <v>98</v>
      </c>
    </row>
    <row r="9" spans="1:13" ht="16.5" customHeight="1" x14ac:dyDescent="0.15">
      <c r="B9" s="6" t="s">
        <v>3</v>
      </c>
      <c r="C9" s="7">
        <v>126</v>
      </c>
    </row>
    <row r="10" spans="1:13" ht="16.5" customHeight="1" x14ac:dyDescent="0.15">
      <c r="B10" s="6" t="s">
        <v>4</v>
      </c>
      <c r="C10" s="7">
        <v>84</v>
      </c>
    </row>
    <row r="11" spans="1:13" ht="16.5" customHeight="1" x14ac:dyDescent="0.15">
      <c r="B11" s="6" t="s">
        <v>5</v>
      </c>
      <c r="C11" s="7">
        <v>79</v>
      </c>
    </row>
    <row r="12" spans="1:13" ht="16.5" customHeight="1" x14ac:dyDescent="0.15">
      <c r="B12" s="8" t="s">
        <v>23</v>
      </c>
      <c r="C12" s="9">
        <v>63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748F-CEE7-4DBD-BC46-9D8515CC2483}">
  <dimension ref="A2:N12"/>
  <sheetViews>
    <sheetView workbookViewId="0"/>
  </sheetViews>
  <sheetFormatPr defaultRowHeight="16.5" customHeight="1" x14ac:dyDescent="0.15"/>
  <cols>
    <col min="1" max="1" width="2.5" style="1" customWidth="1"/>
    <col min="2" max="2" width="13.625" style="1" customWidth="1"/>
    <col min="3" max="3" width="13.375" style="1" customWidth="1"/>
    <col min="4" max="16384" width="9" style="1"/>
  </cols>
  <sheetData>
    <row r="2" spans="1:14" s="11" customFormat="1" ht="23.25" customHeight="1" x14ac:dyDescent="0.15">
      <c r="A2" s="10"/>
      <c r="B2" s="13" t="s">
        <v>19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customFormat="1" ht="16.5" customHeight="1" x14ac:dyDescent="0.15"/>
    <row r="5" spans="1:14" s="2" customFormat="1" ht="16.5" customHeight="1" x14ac:dyDescent="0.15">
      <c r="B5" s="15" t="s">
        <v>24</v>
      </c>
      <c r="C5" s="16" t="s">
        <v>25</v>
      </c>
    </row>
    <row r="6" spans="1:14" ht="16.5" customHeight="1" x14ac:dyDescent="0.15">
      <c r="B6" s="17" t="s">
        <v>26</v>
      </c>
      <c r="C6" s="18">
        <v>985000</v>
      </c>
    </row>
    <row r="7" spans="1:14" ht="16.5" customHeight="1" x14ac:dyDescent="0.15">
      <c r="B7" s="17" t="s">
        <v>7</v>
      </c>
      <c r="C7" s="18">
        <v>628000</v>
      </c>
    </row>
    <row r="8" spans="1:14" ht="16.5" customHeight="1" x14ac:dyDescent="0.15">
      <c r="B8" s="17" t="s">
        <v>27</v>
      </c>
      <c r="C8" s="18">
        <v>512000</v>
      </c>
    </row>
    <row r="9" spans="1:14" ht="16.5" customHeight="1" x14ac:dyDescent="0.15">
      <c r="B9" s="17" t="s">
        <v>28</v>
      </c>
      <c r="C9" s="18">
        <v>1358000</v>
      </c>
    </row>
    <row r="10" spans="1:14" ht="16.5" customHeight="1" x14ac:dyDescent="0.15">
      <c r="B10" s="17" t="s">
        <v>29</v>
      </c>
      <c r="C10" s="18">
        <v>1186000</v>
      </c>
    </row>
    <row r="11" spans="1:14" ht="16.5" customHeight="1" x14ac:dyDescent="0.15">
      <c r="B11" s="17" t="s">
        <v>30</v>
      </c>
      <c r="C11" s="18">
        <v>786000</v>
      </c>
    </row>
    <row r="12" spans="1:14" ht="16.5" customHeight="1" x14ac:dyDescent="0.15">
      <c r="B12" s="19" t="s">
        <v>6</v>
      </c>
      <c r="C12" s="20">
        <v>1524000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1DCC-A2A9-46A6-A652-F544962EB843}">
  <dimension ref="B2:K9"/>
  <sheetViews>
    <sheetView workbookViewId="0"/>
  </sheetViews>
  <sheetFormatPr defaultRowHeight="16.5" customHeight="1" x14ac:dyDescent="0.15"/>
  <cols>
    <col min="1" max="1" width="2.5" style="1" customWidth="1"/>
    <col min="2" max="11" width="14.25" style="1" customWidth="1"/>
    <col min="12" max="16384" width="9" style="1"/>
  </cols>
  <sheetData>
    <row r="2" spans="2:11" s="11" customFormat="1" ht="23.25" customHeight="1" x14ac:dyDescent="0.15">
      <c r="B2" s="14" t="s">
        <v>20</v>
      </c>
      <c r="C2" s="14"/>
      <c r="D2" s="14"/>
      <c r="E2" s="14"/>
      <c r="F2" s="14"/>
      <c r="G2" s="14"/>
      <c r="H2" s="14"/>
      <c r="I2" s="14"/>
      <c r="J2" s="14"/>
      <c r="K2" s="14"/>
    </row>
    <row r="4" spans="2:11" ht="16.5" customHeight="1" x14ac:dyDescent="0.15">
      <c r="C4" s="3"/>
      <c r="D4" s="3"/>
      <c r="E4" s="3"/>
    </row>
    <row r="5" spans="2:11" ht="22.5" customHeight="1" x14ac:dyDescent="0.15">
      <c r="B5" s="21" t="s">
        <v>8</v>
      </c>
      <c r="C5" s="21" t="s">
        <v>9</v>
      </c>
      <c r="D5" s="21" t="s">
        <v>10</v>
      </c>
      <c r="E5" s="21" t="s">
        <v>11</v>
      </c>
      <c r="F5" s="21" t="s">
        <v>12</v>
      </c>
      <c r="G5" s="21" t="s">
        <v>13</v>
      </c>
      <c r="H5" s="21" t="s">
        <v>14</v>
      </c>
      <c r="I5" s="21" t="s">
        <v>15</v>
      </c>
      <c r="J5" s="21" t="s">
        <v>16</v>
      </c>
      <c r="K5" s="21" t="s">
        <v>17</v>
      </c>
    </row>
    <row r="6" spans="2:11" ht="22.5" customHeight="1" x14ac:dyDescent="0.15">
      <c r="B6" s="22" t="s">
        <v>31</v>
      </c>
      <c r="C6" s="23">
        <v>3250000</v>
      </c>
      <c r="D6" s="23">
        <v>3380000</v>
      </c>
      <c r="E6" s="23">
        <v>3520000</v>
      </c>
      <c r="F6" s="23">
        <v>3490000</v>
      </c>
      <c r="G6" s="23">
        <v>3610000</v>
      </c>
      <c r="H6" s="23">
        <v>3740000</v>
      </c>
      <c r="I6" s="23">
        <v>3820000</v>
      </c>
      <c r="J6" s="23">
        <v>3910000</v>
      </c>
      <c r="K6" s="23">
        <v>4050000</v>
      </c>
    </row>
    <row r="7" spans="2:11" ht="22.5" customHeight="1" x14ac:dyDescent="0.15">
      <c r="B7" s="22" t="s">
        <v>32</v>
      </c>
      <c r="C7" s="23">
        <v>2840000</v>
      </c>
      <c r="D7" s="23">
        <v>2910000</v>
      </c>
      <c r="E7" s="23">
        <v>3050000</v>
      </c>
      <c r="F7" s="23">
        <v>3120000</v>
      </c>
      <c r="G7" s="23">
        <v>3180000</v>
      </c>
      <c r="H7" s="23">
        <v>3260000</v>
      </c>
      <c r="I7" s="23">
        <v>3350000</v>
      </c>
      <c r="J7" s="23">
        <v>3470000</v>
      </c>
      <c r="K7" s="23">
        <v>3560000</v>
      </c>
    </row>
    <row r="8" spans="2:11" ht="22.5" customHeight="1" x14ac:dyDescent="0.15">
      <c r="B8" s="22" t="s">
        <v>34</v>
      </c>
      <c r="C8" s="24">
        <v>2850000</v>
      </c>
      <c r="D8" s="24">
        <v>2920000</v>
      </c>
      <c r="E8" s="24">
        <v>3010000</v>
      </c>
      <c r="F8" s="24">
        <v>3080000</v>
      </c>
      <c r="G8" s="24">
        <v>3150000</v>
      </c>
      <c r="H8" s="24">
        <v>3220000</v>
      </c>
      <c r="I8" s="24">
        <v>3300000</v>
      </c>
      <c r="J8" s="24">
        <v>3380000</v>
      </c>
      <c r="K8" s="24">
        <v>3460000</v>
      </c>
    </row>
    <row r="9" spans="2:11" ht="16.5" customHeight="1" x14ac:dyDescent="0.15">
      <c r="B9" s="22" t="s">
        <v>33</v>
      </c>
      <c r="C9" s="23">
        <f>SUM(C6:C8)</f>
        <v>8940000</v>
      </c>
      <c r="D9" s="23">
        <f t="shared" ref="D9:K9" si="0">SUM(D6:D8)</f>
        <v>9210000</v>
      </c>
      <c r="E9" s="23">
        <f t="shared" si="0"/>
        <v>9580000</v>
      </c>
      <c r="F9" s="23">
        <f t="shared" si="0"/>
        <v>9690000</v>
      </c>
      <c r="G9" s="23">
        <f t="shared" si="0"/>
        <v>9940000</v>
      </c>
      <c r="H9" s="23">
        <f t="shared" si="0"/>
        <v>10220000</v>
      </c>
      <c r="I9" s="23">
        <f t="shared" si="0"/>
        <v>10470000</v>
      </c>
      <c r="J9" s="23">
        <f t="shared" si="0"/>
        <v>10760000</v>
      </c>
      <c r="K9" s="23">
        <f t="shared" si="0"/>
        <v>11070000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診療科構成</vt:lpstr>
      <vt:lpstr>処置別売上</vt:lpstr>
      <vt:lpstr>月次収益推移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dcterms:created xsi:type="dcterms:W3CDTF">2026-06-25T04:09:03Z</dcterms:created>
  <dcterms:modified xsi:type="dcterms:W3CDTF">2026-07-10T10:07:25Z</dcterms:modified>
</cp:coreProperties>
</file>