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3\"/>
    </mc:Choice>
  </mc:AlternateContent>
  <xr:revisionPtr revIDLastSave="0" documentId="13_ncr:1_{704855AD-4DC6-497A-8D7F-ADCB81398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製造受注一覧" sheetId="3" r:id="rId1"/>
    <sheet name="工場月次実績" sheetId="4" r:id="rId2"/>
    <sheet name="技能査定結果" sheetId="5" r:id="rId3"/>
    <sheet name="ライン別集計" sheetId="6" r:id="rId4"/>
    <sheet name="部品在庫参照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2" i="5"/>
  <c r="I11" i="5"/>
  <c r="I10" i="5"/>
  <c r="I9" i="5"/>
  <c r="I8" i="5"/>
  <c r="I7" i="5"/>
  <c r="I6" i="5"/>
  <c r="I5" i="5"/>
  <c r="I4" i="5"/>
  <c r="O8" i="4"/>
  <c r="O7" i="4"/>
  <c r="O6" i="4"/>
  <c r="O5" i="4"/>
  <c r="O4" i="4"/>
</calcChain>
</file>

<file path=xl/sharedStrings.xml><?xml version="1.0" encoding="utf-8"?>
<sst xmlns="http://schemas.openxmlformats.org/spreadsheetml/2006/main" count="497" uniqueCount="238">
  <si>
    <t>製造受注記録</t>
  </si>
  <si>
    <t>集計期間：2026年1月〜2026年6月</t>
  </si>
  <si>
    <t>受注日</t>
  </si>
  <si>
    <t>受注ID</t>
  </si>
  <si>
    <t>製品名</t>
  </si>
  <si>
    <t>ライン</t>
  </si>
  <si>
    <t>数量</t>
  </si>
  <si>
    <t>納期</t>
  </si>
  <si>
    <t>製品単価</t>
  </si>
  <si>
    <t>MFG0001</t>
  </si>
  <si>
    <t>アセンブリE-505</t>
  </si>
  <si>
    <t>ラインC</t>
  </si>
  <si>
    <t>MFG0002</t>
  </si>
  <si>
    <t>デバイスG-707</t>
  </si>
  <si>
    <t>ラインA</t>
  </si>
  <si>
    <t>MFG0003</t>
  </si>
  <si>
    <t>MFG0004</t>
  </si>
  <si>
    <t>パーツB-202</t>
  </si>
  <si>
    <t>ラインD</t>
  </si>
  <si>
    <t>MFG0005</t>
  </si>
  <si>
    <t>モジュールD-404</t>
  </si>
  <si>
    <t>MFG0006</t>
  </si>
  <si>
    <t>パーツA-101</t>
  </si>
  <si>
    <t>MFG0007</t>
  </si>
  <si>
    <t>コンポーネントF-606</t>
  </si>
  <si>
    <t>ラインE</t>
  </si>
  <si>
    <t>MFG0008</t>
  </si>
  <si>
    <t>MFG0009</t>
  </si>
  <si>
    <t>MFG0010</t>
  </si>
  <si>
    <t>MFG0011</t>
  </si>
  <si>
    <t>ユニットC-303</t>
  </si>
  <si>
    <t>MFG0012</t>
  </si>
  <si>
    <t>MFG0013</t>
  </si>
  <si>
    <t>MFG0014</t>
  </si>
  <si>
    <t>MFG0015</t>
  </si>
  <si>
    <t>ラインB</t>
  </si>
  <si>
    <t>MFG0016</t>
  </si>
  <si>
    <t>MFG0017</t>
  </si>
  <si>
    <t>MFG0018</t>
  </si>
  <si>
    <t>MFG0019</t>
  </si>
  <si>
    <t>MFG0020</t>
  </si>
  <si>
    <t>MFG0021</t>
  </si>
  <si>
    <t>MFG0022</t>
  </si>
  <si>
    <t>MFG0023</t>
  </si>
  <si>
    <t>MFG0024</t>
  </si>
  <si>
    <t>MFG0025</t>
  </si>
  <si>
    <t>MFG0026</t>
  </si>
  <si>
    <t>MFG0027</t>
  </si>
  <si>
    <t>MFG0028</t>
  </si>
  <si>
    <t>MFG0029</t>
  </si>
  <si>
    <t>MFG0030</t>
  </si>
  <si>
    <t>MFG0031</t>
  </si>
  <si>
    <t>MFG0032</t>
  </si>
  <si>
    <t>MFG0033</t>
  </si>
  <si>
    <t>MFG0034</t>
  </si>
  <si>
    <t>MFG0035</t>
  </si>
  <si>
    <t>MFG0036</t>
  </si>
  <si>
    <t>MFG0037</t>
  </si>
  <si>
    <t>MFG0038</t>
  </si>
  <si>
    <t>MFG0039</t>
  </si>
  <si>
    <t>MFG0040</t>
  </si>
  <si>
    <t>MFG0041</t>
  </si>
  <si>
    <t>MFG0042</t>
  </si>
  <si>
    <t>MFG0043</t>
  </si>
  <si>
    <t>MFG0044</t>
  </si>
  <si>
    <t>MFG0045</t>
  </si>
  <si>
    <t>MFG0046</t>
  </si>
  <si>
    <t>MFG0047</t>
  </si>
  <si>
    <t>MFG0048</t>
  </si>
  <si>
    <t>MFG0049</t>
  </si>
  <si>
    <t>MFG0050</t>
  </si>
  <si>
    <t>MFG0051</t>
  </si>
  <si>
    <t>MFG0052</t>
  </si>
  <si>
    <t>MFG0053</t>
  </si>
  <si>
    <t>MFG0054</t>
  </si>
  <si>
    <t>MFG0055</t>
  </si>
  <si>
    <t>MFG0056</t>
  </si>
  <si>
    <t>MFG0057</t>
  </si>
  <si>
    <t>MFG0058</t>
  </si>
  <si>
    <t>MFG0059</t>
  </si>
  <si>
    <t>MFG0060</t>
  </si>
  <si>
    <t>MFG0061</t>
  </si>
  <si>
    <t>MFG0062</t>
  </si>
  <si>
    <t>MFG0063</t>
  </si>
  <si>
    <t>MFG0064</t>
  </si>
  <si>
    <t>MFG0065</t>
  </si>
  <si>
    <t>MFG0066</t>
  </si>
  <si>
    <t>MFG0067</t>
  </si>
  <si>
    <t>MFG0068</t>
  </si>
  <si>
    <t>MFG0069</t>
  </si>
  <si>
    <t>MFG0070</t>
  </si>
  <si>
    <t>MFG0071</t>
  </si>
  <si>
    <t>MFG0072</t>
  </si>
  <si>
    <t>MFG0073</t>
  </si>
  <si>
    <t>MFG0074</t>
  </si>
  <si>
    <t>MFG0075</t>
  </si>
  <si>
    <t>MFG0076</t>
  </si>
  <si>
    <t>MFG0077</t>
  </si>
  <si>
    <t>MFG0078</t>
  </si>
  <si>
    <t>MFG0079</t>
  </si>
  <si>
    <t>MFG0080</t>
  </si>
  <si>
    <t>MFG0081</t>
  </si>
  <si>
    <t>MFG0082</t>
  </si>
  <si>
    <t>MFG0083</t>
  </si>
  <si>
    <t>MFG0084</t>
  </si>
  <si>
    <t>MFG0085</t>
  </si>
  <si>
    <t>MFG0086</t>
  </si>
  <si>
    <t>MFG0087</t>
  </si>
  <si>
    <t>MFG0088</t>
  </si>
  <si>
    <t>MFG0089</t>
  </si>
  <si>
    <t>MFG0090</t>
  </si>
  <si>
    <t>MFG0091</t>
  </si>
  <si>
    <t>MFG0092</t>
  </si>
  <si>
    <t>MFG0093</t>
  </si>
  <si>
    <t>MFG0094</t>
  </si>
  <si>
    <t>MFG0095</t>
  </si>
  <si>
    <t>MFG0096</t>
  </si>
  <si>
    <t>MFG0097</t>
  </si>
  <si>
    <t>MFG0098</t>
  </si>
  <si>
    <t>MFG0099</t>
  </si>
  <si>
    <t>MFG0100</t>
  </si>
  <si>
    <t>MFG0101</t>
  </si>
  <si>
    <t>MFG0102</t>
  </si>
  <si>
    <t>MFG0103</t>
  </si>
  <si>
    <t>MFG0104</t>
  </si>
  <si>
    <t>MFG0105</t>
  </si>
  <si>
    <t>MFG0106</t>
  </si>
  <si>
    <t>MFG0107</t>
  </si>
  <si>
    <t>MFG0108</t>
  </si>
  <si>
    <t>MFG0109</t>
  </si>
  <si>
    <t>MFG0110</t>
  </si>
  <si>
    <t>MFG0111</t>
  </si>
  <si>
    <t>MFG0112</t>
  </si>
  <si>
    <t>MFG0113</t>
  </si>
  <si>
    <t>MFG0114</t>
  </si>
  <si>
    <t>MFG0115</t>
  </si>
  <si>
    <t>MFG0116</t>
  </si>
  <si>
    <t>MFG0117</t>
  </si>
  <si>
    <t>MFG0118</t>
  </si>
  <si>
    <t>MFG0119</t>
  </si>
  <si>
    <t>MFG0120</t>
  </si>
  <si>
    <t>MFG0121</t>
  </si>
  <si>
    <t>MFG0122</t>
  </si>
  <si>
    <t>MFG0123</t>
  </si>
  <si>
    <t>MFG0124</t>
  </si>
  <si>
    <t>MFG0125</t>
  </si>
  <si>
    <t>合計</t>
  </si>
  <si>
    <t>製造技能査定 結果一覧</t>
  </si>
  <si>
    <t>受験者番号</t>
  </si>
  <si>
    <t>受験者氏名</t>
  </si>
  <si>
    <t>旋盤基礎技術スコア</t>
  </si>
  <si>
    <t>溶接施工技術スコア</t>
  </si>
  <si>
    <t>品質管理理解度スコア</t>
  </si>
  <si>
    <t>工程管理実技スコア</t>
  </si>
  <si>
    <t>安全衛生知識スコア</t>
  </si>
  <si>
    <t>図面読解能力スコア</t>
  </si>
  <si>
    <t>総合スコア合計</t>
  </si>
  <si>
    <t>判定結果区分</t>
  </si>
  <si>
    <t>受験日付</t>
  </si>
  <si>
    <t>備考</t>
  </si>
  <si>
    <t>K0001</t>
  </si>
  <si>
    <t>山田 蓮</t>
  </si>
  <si>
    <t>合格</t>
  </si>
  <si>
    <t>K0002</t>
  </si>
  <si>
    <t>鈴木 直樹</t>
  </si>
  <si>
    <t>K0003</t>
  </si>
  <si>
    <t>井上 陽介</t>
  </si>
  <si>
    <t>K0004</t>
  </si>
  <si>
    <t>高橋 直樹</t>
  </si>
  <si>
    <t>K0005</t>
  </si>
  <si>
    <t>中村 直樹</t>
  </si>
  <si>
    <t>K0006</t>
  </si>
  <si>
    <t>小林 翔</t>
  </si>
  <si>
    <t>K0007</t>
  </si>
  <si>
    <t>中村 拓海</t>
  </si>
  <si>
    <t>K0008</t>
  </si>
  <si>
    <t>山本 大輝</t>
  </si>
  <si>
    <t>K0009</t>
  </si>
  <si>
    <t>渡辺 蓮</t>
  </si>
  <si>
    <t>K0010</t>
  </si>
  <si>
    <t>吉田 大輝</t>
  </si>
  <si>
    <t>合計受注件数</t>
  </si>
  <si>
    <t>部品コード</t>
  </si>
  <si>
    <t>部品名</t>
  </si>
  <si>
    <t>在庫数</t>
  </si>
  <si>
    <t>P0001</t>
  </si>
  <si>
    <t>ピン #83</t>
  </si>
  <si>
    <t>P0002</t>
  </si>
  <si>
    <t>ブッシュ #75</t>
  </si>
  <si>
    <t>P0003</t>
  </si>
  <si>
    <t>ボルト #85</t>
  </si>
  <si>
    <t>P0004</t>
  </si>
  <si>
    <t>ブッシュ #44</t>
  </si>
  <si>
    <t>P0005</t>
  </si>
  <si>
    <t>ブッシュ #06</t>
  </si>
  <si>
    <t>P0006</t>
  </si>
  <si>
    <t>スクリュー #11</t>
  </si>
  <si>
    <t>P0007</t>
  </si>
  <si>
    <t>ブッシュ #34</t>
  </si>
  <si>
    <t>P0008</t>
  </si>
  <si>
    <t>ワッシャー #99</t>
  </si>
  <si>
    <t>P0009</t>
  </si>
  <si>
    <t>スプリング #80</t>
  </si>
  <si>
    <t>P0010</t>
  </si>
  <si>
    <t>スクリュー #64</t>
  </si>
  <si>
    <t>P0011</t>
  </si>
  <si>
    <t>ピン #38</t>
  </si>
  <si>
    <t>P0012</t>
  </si>
  <si>
    <t>ベアリング #62</t>
  </si>
  <si>
    <t>P0013</t>
  </si>
  <si>
    <t>スプリング #39</t>
  </si>
  <si>
    <t>P0014</t>
  </si>
  <si>
    <t>ナット #89</t>
  </si>
  <si>
    <t>P0015</t>
  </si>
  <si>
    <t>ボルト #57</t>
  </si>
  <si>
    <t>P0016</t>
  </si>
  <si>
    <t>シャフト #60</t>
  </si>
  <si>
    <t>P0017</t>
  </si>
  <si>
    <t>ギア #78</t>
  </si>
  <si>
    <t>P0018</t>
  </si>
  <si>
    <t>ギア #92</t>
  </si>
  <si>
    <t>P0019</t>
  </si>
  <si>
    <t>ギア #52</t>
  </si>
  <si>
    <t>P0020</t>
  </si>
  <si>
    <t>ギア #66</t>
  </si>
  <si>
    <t>工場ライン年度別実績</t>
    <rPh sb="5" eb="7">
      <t>ネンド</t>
    </rPh>
    <rPh sb="7" eb="8">
      <t>ベツ</t>
    </rPh>
    <phoneticPr fontId="4"/>
  </si>
  <si>
    <t>2026年</t>
    <rPh sb="4" eb="5">
      <t>ネン</t>
    </rPh>
    <phoneticPr fontId="4"/>
  </si>
  <si>
    <t>2015年</t>
    <rPh sb="4" eb="5">
      <t>ネン</t>
    </rPh>
    <phoneticPr fontId="4"/>
  </si>
  <si>
    <t>2016年</t>
    <rPh sb="4" eb="5">
      <t>ネン</t>
    </rPh>
    <phoneticPr fontId="4"/>
  </si>
  <si>
    <t>2017年</t>
    <rPh sb="4" eb="5">
      <t>ネン</t>
    </rPh>
    <phoneticPr fontId="4"/>
  </si>
  <si>
    <t>2018年</t>
    <rPh sb="4" eb="5">
      <t>ネン</t>
    </rPh>
    <phoneticPr fontId="4"/>
  </si>
  <si>
    <t>2019年</t>
    <rPh sb="4" eb="5">
      <t>ネン</t>
    </rPh>
    <phoneticPr fontId="4"/>
  </si>
  <si>
    <t>2020年</t>
    <rPh sb="4" eb="5">
      <t>ネン</t>
    </rPh>
    <phoneticPr fontId="4"/>
  </si>
  <si>
    <t>2021年</t>
    <rPh sb="4" eb="5">
      <t>ネン</t>
    </rPh>
    <phoneticPr fontId="4"/>
  </si>
  <si>
    <t>2022年</t>
    <rPh sb="4" eb="5">
      <t>ネン</t>
    </rPh>
    <phoneticPr fontId="4"/>
  </si>
  <si>
    <t>2023年</t>
    <rPh sb="4" eb="5">
      <t>ネン</t>
    </rPh>
    <phoneticPr fontId="4"/>
  </si>
  <si>
    <t>2024年</t>
    <rPh sb="4" eb="5">
      <t>ネン</t>
    </rPh>
    <phoneticPr fontId="4"/>
  </si>
  <si>
    <t>2025年</t>
    <rPh sb="4" eb="5">
      <t>ネン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</si>
</sst>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scheme val="minor"/>
    </font>
    <font>
      <b/>
      <sz val="16"/>
      <color rgb="FFED7D31"/>
      <name val="ＭＳ Ｐゴシック"/>
      <family val="3"/>
      <charset val="128"/>
    </font>
    <font>
      <i/>
      <sz val="1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b/>
      <sz val="16"/>
      <color theme="3"/>
      <name val="ＭＳ Ｐゴシック"/>
      <family val="3"/>
      <charset val="128"/>
    </font>
    <font>
      <sz val="11"/>
      <color theme="3"/>
      <name val="游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6"/>
      <color theme="2" tint="-0.499984740745262"/>
      <name val="ＭＳ Ｐゴシック"/>
      <family val="3"/>
      <charset val="128"/>
    </font>
    <font>
      <sz val="11"/>
      <color theme="2" tint="-0.499984740745262"/>
      <name val="游ゴシック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176" fontId="0" fillId="3" borderId="0" xfId="0" applyNumberFormat="1" applyFill="1" applyAlignment="1">
      <alignment horizontal="right" vertical="center"/>
    </xf>
    <xf numFmtId="3" fontId="0" fillId="3" borderId="0" xfId="0" applyNumberFormat="1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ライン別集計!$B$2</c:f>
              <c:strCache>
                <c:ptCount val="1"/>
                <c:pt idx="0">
                  <c:v>合計受注件数</c:v>
                </c:pt>
              </c:strCache>
            </c:strRef>
          </c:tx>
          <c:spPr>
            <a:ln>
              <a:prstDash val="solid"/>
            </a:ln>
          </c:spPr>
          <c:cat>
            <c:strRef>
              <c:f>ライン別集計!$A$3:$A$7</c:f>
              <c:strCache>
                <c:ptCount val="5"/>
                <c:pt idx="0">
                  <c:v>ラインA</c:v>
                </c:pt>
                <c:pt idx="1">
                  <c:v>ラインB</c:v>
                </c:pt>
                <c:pt idx="2">
                  <c:v>ラインC</c:v>
                </c:pt>
                <c:pt idx="3">
                  <c:v>ラインD</c:v>
                </c:pt>
                <c:pt idx="4">
                  <c:v>ラインE</c:v>
                </c:pt>
              </c:strCache>
            </c:strRef>
          </c:cat>
          <c:val>
            <c:numRef>
              <c:f>ライン別集計!$B$3:$B$7</c:f>
              <c:numCache>
                <c:formatCode>General</c:formatCode>
                <c:ptCount val="5"/>
                <c:pt idx="0">
                  <c:v>60</c:v>
                </c:pt>
                <c:pt idx="1">
                  <c:v>39</c:v>
                </c:pt>
                <c:pt idx="2">
                  <c:v>59</c:v>
                </c:pt>
                <c:pt idx="3">
                  <c:v>54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4-4818-BA4E-3F79B0BA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28575</xdr:rowOff>
    </xdr:from>
    <xdr:ext cx="4752975" cy="3552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28"/>
  <sheetViews>
    <sheetView tabSelected="1" workbookViewId="0">
      <selection activeCell="D12" sqref="D12"/>
    </sheetView>
  </sheetViews>
  <sheetFormatPr defaultRowHeight="18.75" x14ac:dyDescent="0.4"/>
  <cols>
    <col min="1" max="1" width="2" customWidth="1"/>
    <col min="2" max="2" width="12" customWidth="1"/>
    <col min="3" max="3" width="12.75" customWidth="1"/>
    <col min="4" max="4" width="20" customWidth="1"/>
    <col min="5" max="5" width="10" customWidth="1"/>
    <col min="6" max="6" width="8" customWidth="1"/>
    <col min="7" max="7" width="12" style="17" customWidth="1"/>
    <col min="8" max="8" width="12" customWidth="1"/>
  </cols>
  <sheetData>
    <row r="1" spans="2:8" ht="30" customHeight="1" x14ac:dyDescent="0.4">
      <c r="B1" s="25" t="s">
        <v>0</v>
      </c>
      <c r="C1" s="26"/>
      <c r="D1" s="26"/>
      <c r="E1" s="26"/>
      <c r="F1" s="26"/>
      <c r="G1" s="26"/>
      <c r="H1" s="26"/>
    </row>
    <row r="2" spans="2:8" x14ac:dyDescent="0.4">
      <c r="B2" s="23" t="s">
        <v>1</v>
      </c>
      <c r="C2" s="24"/>
      <c r="D2" s="24"/>
      <c r="E2" s="24"/>
      <c r="F2" s="24"/>
      <c r="G2" s="24"/>
      <c r="H2" s="24"/>
    </row>
    <row r="3" spans="2:8" s="18" customFormat="1" ht="24" customHeight="1" x14ac:dyDescent="0.4"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</row>
    <row r="4" spans="2:8" ht="20.100000000000001" customHeight="1" x14ac:dyDescent="0.4">
      <c r="B4" s="7">
        <v>46056</v>
      </c>
      <c r="C4" s="8" t="s">
        <v>9</v>
      </c>
      <c r="D4" s="9" t="s">
        <v>10</v>
      </c>
      <c r="E4" s="9" t="s">
        <v>11</v>
      </c>
      <c r="F4" s="9">
        <v>458</v>
      </c>
      <c r="G4" s="10">
        <v>46097</v>
      </c>
      <c r="H4" s="11">
        <v>8204</v>
      </c>
    </row>
    <row r="5" spans="2:8" ht="20.100000000000001" customHeight="1" x14ac:dyDescent="0.4">
      <c r="B5" s="12">
        <v>46192</v>
      </c>
      <c r="C5" s="13" t="s">
        <v>12</v>
      </c>
      <c r="D5" s="14" t="s">
        <v>13</v>
      </c>
      <c r="E5" s="14" t="s">
        <v>14</v>
      </c>
      <c r="F5" s="14">
        <v>117</v>
      </c>
      <c r="G5" s="15">
        <v>46222</v>
      </c>
      <c r="H5" s="16">
        <v>24477</v>
      </c>
    </row>
    <row r="6" spans="2:8" ht="20.100000000000001" customHeight="1" x14ac:dyDescent="0.4">
      <c r="B6" s="7">
        <v>46083</v>
      </c>
      <c r="C6" s="8" t="s">
        <v>15</v>
      </c>
      <c r="D6" s="9" t="s">
        <v>10</v>
      </c>
      <c r="E6" s="9" t="s">
        <v>11</v>
      </c>
      <c r="F6" s="9">
        <v>58</v>
      </c>
      <c r="G6" s="10">
        <v>46124</v>
      </c>
      <c r="H6" s="11">
        <v>18391</v>
      </c>
    </row>
    <row r="7" spans="2:8" ht="20.100000000000001" customHeight="1" x14ac:dyDescent="0.4">
      <c r="B7" s="12">
        <v>46036</v>
      </c>
      <c r="C7" s="13" t="s">
        <v>16</v>
      </c>
      <c r="D7" s="14" t="s">
        <v>17</v>
      </c>
      <c r="E7" s="14" t="s">
        <v>18</v>
      </c>
      <c r="F7" s="14">
        <v>319</v>
      </c>
      <c r="G7" s="15">
        <v>46073</v>
      </c>
      <c r="H7" s="16">
        <v>49867</v>
      </c>
    </row>
    <row r="8" spans="2:8" ht="20.100000000000001" customHeight="1" x14ac:dyDescent="0.4">
      <c r="B8" s="7">
        <v>46039</v>
      </c>
      <c r="C8" s="8" t="s">
        <v>19</v>
      </c>
      <c r="D8" s="9" t="s">
        <v>20</v>
      </c>
      <c r="E8" s="9" t="s">
        <v>18</v>
      </c>
      <c r="F8" s="9">
        <v>448</v>
      </c>
      <c r="G8" s="10">
        <v>46092</v>
      </c>
      <c r="H8" s="11">
        <v>34635</v>
      </c>
    </row>
    <row r="9" spans="2:8" ht="20.100000000000001" customHeight="1" x14ac:dyDescent="0.4">
      <c r="B9" s="12">
        <v>46174</v>
      </c>
      <c r="C9" s="13" t="s">
        <v>21</v>
      </c>
      <c r="D9" s="14" t="s">
        <v>22</v>
      </c>
      <c r="E9" s="14" t="s">
        <v>18</v>
      </c>
      <c r="F9" s="14">
        <v>307</v>
      </c>
      <c r="G9" s="15">
        <v>46218</v>
      </c>
      <c r="H9" s="16">
        <v>41311</v>
      </c>
    </row>
    <row r="10" spans="2:8" ht="20.100000000000001" customHeight="1" x14ac:dyDescent="0.4">
      <c r="B10" s="7">
        <v>46034</v>
      </c>
      <c r="C10" s="8" t="s">
        <v>23</v>
      </c>
      <c r="D10" s="9" t="s">
        <v>24</v>
      </c>
      <c r="E10" s="9" t="s">
        <v>25</v>
      </c>
      <c r="F10" s="9">
        <v>204</v>
      </c>
      <c r="G10" s="10">
        <v>46093</v>
      </c>
      <c r="H10" s="11">
        <v>43161</v>
      </c>
    </row>
    <row r="11" spans="2:8" ht="20.100000000000001" customHeight="1" x14ac:dyDescent="0.4">
      <c r="B11" s="12">
        <v>46030</v>
      </c>
      <c r="C11" s="13" t="s">
        <v>26</v>
      </c>
      <c r="D11" s="14" t="s">
        <v>22</v>
      </c>
      <c r="E11" s="14" t="s">
        <v>18</v>
      </c>
      <c r="F11" s="14">
        <v>483</v>
      </c>
      <c r="G11" s="15">
        <v>46085</v>
      </c>
      <c r="H11" s="16">
        <v>28936</v>
      </c>
    </row>
    <row r="12" spans="2:8" ht="20.100000000000001" customHeight="1" x14ac:dyDescent="0.4">
      <c r="B12" s="7">
        <v>46198</v>
      </c>
      <c r="C12" s="8" t="s">
        <v>27</v>
      </c>
      <c r="D12" s="9" t="s">
        <v>22</v>
      </c>
      <c r="E12" s="9" t="s">
        <v>18</v>
      </c>
      <c r="F12" s="9">
        <v>414</v>
      </c>
      <c r="G12" s="10">
        <v>46286</v>
      </c>
      <c r="H12" s="11">
        <v>30069</v>
      </c>
    </row>
    <row r="13" spans="2:8" ht="20.100000000000001" customHeight="1" x14ac:dyDescent="0.4">
      <c r="B13" s="12">
        <v>46041</v>
      </c>
      <c r="C13" s="13" t="s">
        <v>28</v>
      </c>
      <c r="D13" s="14" t="s">
        <v>22</v>
      </c>
      <c r="E13" s="14" t="s">
        <v>11</v>
      </c>
      <c r="F13" s="14">
        <v>361</v>
      </c>
      <c r="G13" s="15">
        <v>46080</v>
      </c>
      <c r="H13" s="16">
        <v>5304</v>
      </c>
    </row>
    <row r="14" spans="2:8" ht="20.100000000000001" customHeight="1" x14ac:dyDescent="0.4">
      <c r="B14" s="7">
        <v>46055</v>
      </c>
      <c r="C14" s="8" t="s">
        <v>29</v>
      </c>
      <c r="D14" s="9" t="s">
        <v>30</v>
      </c>
      <c r="E14" s="9" t="s">
        <v>25</v>
      </c>
      <c r="F14" s="9">
        <v>374</v>
      </c>
      <c r="G14" s="10">
        <v>46122</v>
      </c>
      <c r="H14" s="11">
        <v>36937</v>
      </c>
    </row>
    <row r="15" spans="2:8" ht="20.100000000000001" customHeight="1" x14ac:dyDescent="0.4">
      <c r="B15" s="12">
        <v>46106</v>
      </c>
      <c r="C15" s="13" t="s">
        <v>31</v>
      </c>
      <c r="D15" s="14" t="s">
        <v>20</v>
      </c>
      <c r="E15" s="14" t="s">
        <v>25</v>
      </c>
      <c r="F15" s="14">
        <v>321</v>
      </c>
      <c r="G15" s="15">
        <v>46154</v>
      </c>
      <c r="H15" s="16">
        <v>30734</v>
      </c>
    </row>
    <row r="16" spans="2:8" ht="20.100000000000001" customHeight="1" x14ac:dyDescent="0.4">
      <c r="B16" s="7">
        <v>46152</v>
      </c>
      <c r="C16" s="8" t="s">
        <v>32</v>
      </c>
      <c r="D16" s="9" t="s">
        <v>10</v>
      </c>
      <c r="E16" s="9" t="s">
        <v>18</v>
      </c>
      <c r="F16" s="9">
        <v>100</v>
      </c>
      <c r="G16" s="10">
        <v>46232</v>
      </c>
      <c r="H16" s="11">
        <v>46991</v>
      </c>
    </row>
    <row r="17" spans="2:8" ht="20.100000000000001" customHeight="1" x14ac:dyDescent="0.4">
      <c r="B17" s="12">
        <v>46052</v>
      </c>
      <c r="C17" s="13" t="s">
        <v>33</v>
      </c>
      <c r="D17" s="14" t="s">
        <v>13</v>
      </c>
      <c r="E17" s="14" t="s">
        <v>25</v>
      </c>
      <c r="F17" s="14">
        <v>419</v>
      </c>
      <c r="G17" s="15">
        <v>46137</v>
      </c>
      <c r="H17" s="16">
        <v>15091</v>
      </c>
    </row>
    <row r="18" spans="2:8" ht="20.100000000000001" customHeight="1" x14ac:dyDescent="0.4">
      <c r="B18" s="7">
        <v>46133</v>
      </c>
      <c r="C18" s="8" t="s">
        <v>34</v>
      </c>
      <c r="D18" s="9" t="s">
        <v>20</v>
      </c>
      <c r="E18" s="9" t="s">
        <v>35</v>
      </c>
      <c r="F18" s="9">
        <v>261</v>
      </c>
      <c r="G18" s="10">
        <v>46184</v>
      </c>
      <c r="H18" s="11">
        <v>30720</v>
      </c>
    </row>
    <row r="19" spans="2:8" ht="20.100000000000001" customHeight="1" x14ac:dyDescent="0.4">
      <c r="B19" s="12">
        <v>46125</v>
      </c>
      <c r="C19" s="13" t="s">
        <v>36</v>
      </c>
      <c r="D19" s="14" t="s">
        <v>20</v>
      </c>
      <c r="E19" s="14" t="s">
        <v>14</v>
      </c>
      <c r="F19" s="14">
        <v>210</v>
      </c>
      <c r="G19" s="15">
        <v>46182</v>
      </c>
      <c r="H19" s="16">
        <v>21481</v>
      </c>
    </row>
    <row r="20" spans="2:8" ht="20.100000000000001" customHeight="1" x14ac:dyDescent="0.4">
      <c r="B20" s="7">
        <v>46193</v>
      </c>
      <c r="C20" s="8" t="s">
        <v>37</v>
      </c>
      <c r="D20" s="9" t="s">
        <v>30</v>
      </c>
      <c r="E20" s="9" t="s">
        <v>11</v>
      </c>
      <c r="F20" s="9">
        <v>128</v>
      </c>
      <c r="G20" s="10">
        <v>46266</v>
      </c>
      <c r="H20" s="11">
        <v>32081</v>
      </c>
    </row>
    <row r="21" spans="2:8" ht="20.100000000000001" customHeight="1" x14ac:dyDescent="0.4">
      <c r="B21" s="12">
        <v>46040</v>
      </c>
      <c r="C21" s="13" t="s">
        <v>38</v>
      </c>
      <c r="D21" s="14" t="s">
        <v>22</v>
      </c>
      <c r="E21" s="14" t="s">
        <v>14</v>
      </c>
      <c r="F21" s="14">
        <v>97</v>
      </c>
      <c r="G21" s="15">
        <v>46097</v>
      </c>
      <c r="H21" s="16">
        <v>7328</v>
      </c>
    </row>
    <row r="22" spans="2:8" ht="20.100000000000001" customHeight="1" x14ac:dyDescent="0.4">
      <c r="B22" s="7">
        <v>46118</v>
      </c>
      <c r="C22" s="8" t="s">
        <v>39</v>
      </c>
      <c r="D22" s="9" t="s">
        <v>13</v>
      </c>
      <c r="E22" s="9" t="s">
        <v>35</v>
      </c>
      <c r="F22" s="9">
        <v>334</v>
      </c>
      <c r="G22" s="10">
        <v>46151</v>
      </c>
      <c r="H22" s="11">
        <v>39434</v>
      </c>
    </row>
    <row r="23" spans="2:8" ht="20.100000000000001" customHeight="1" x14ac:dyDescent="0.4">
      <c r="B23" s="12">
        <v>46166</v>
      </c>
      <c r="C23" s="13" t="s">
        <v>40</v>
      </c>
      <c r="D23" s="14" t="s">
        <v>10</v>
      </c>
      <c r="E23" s="14" t="s">
        <v>11</v>
      </c>
      <c r="F23" s="14">
        <v>393</v>
      </c>
      <c r="G23" s="15">
        <v>46203</v>
      </c>
      <c r="H23" s="16">
        <v>27922</v>
      </c>
    </row>
    <row r="24" spans="2:8" ht="20.100000000000001" customHeight="1" x14ac:dyDescent="0.4">
      <c r="B24" s="7">
        <v>46113</v>
      </c>
      <c r="C24" s="8" t="s">
        <v>41</v>
      </c>
      <c r="D24" s="9" t="s">
        <v>13</v>
      </c>
      <c r="E24" s="9" t="s">
        <v>18</v>
      </c>
      <c r="F24" s="9">
        <v>494</v>
      </c>
      <c r="G24" s="10">
        <v>46201</v>
      </c>
      <c r="H24" s="11">
        <v>48255</v>
      </c>
    </row>
    <row r="25" spans="2:8" ht="20.100000000000001" customHeight="1" x14ac:dyDescent="0.4">
      <c r="B25" s="12">
        <v>46036</v>
      </c>
      <c r="C25" s="13" t="s">
        <v>42</v>
      </c>
      <c r="D25" s="14" t="s">
        <v>30</v>
      </c>
      <c r="E25" s="14" t="s">
        <v>25</v>
      </c>
      <c r="F25" s="14">
        <v>209</v>
      </c>
      <c r="G25" s="15">
        <v>46088</v>
      </c>
      <c r="H25" s="16">
        <v>7789</v>
      </c>
    </row>
    <row r="26" spans="2:8" ht="20.100000000000001" customHeight="1" x14ac:dyDescent="0.4">
      <c r="B26" s="7">
        <v>46170</v>
      </c>
      <c r="C26" s="8" t="s">
        <v>43</v>
      </c>
      <c r="D26" s="9" t="s">
        <v>10</v>
      </c>
      <c r="E26" s="9" t="s">
        <v>35</v>
      </c>
      <c r="F26" s="9">
        <v>129</v>
      </c>
      <c r="G26" s="10">
        <v>46242</v>
      </c>
      <c r="H26" s="11">
        <v>32600</v>
      </c>
    </row>
    <row r="27" spans="2:8" ht="20.100000000000001" customHeight="1" x14ac:dyDescent="0.4">
      <c r="B27" s="12">
        <v>46080</v>
      </c>
      <c r="C27" s="13" t="s">
        <v>44</v>
      </c>
      <c r="D27" s="14" t="s">
        <v>13</v>
      </c>
      <c r="E27" s="14" t="s">
        <v>14</v>
      </c>
      <c r="F27" s="14">
        <v>229</v>
      </c>
      <c r="G27" s="15">
        <v>46164</v>
      </c>
      <c r="H27" s="16">
        <v>37455</v>
      </c>
    </row>
    <row r="28" spans="2:8" ht="20.100000000000001" customHeight="1" x14ac:dyDescent="0.4">
      <c r="B28" s="7">
        <v>46117</v>
      </c>
      <c r="C28" s="8" t="s">
        <v>45</v>
      </c>
      <c r="D28" s="9" t="s">
        <v>22</v>
      </c>
      <c r="E28" s="9" t="s">
        <v>11</v>
      </c>
      <c r="F28" s="9">
        <v>343</v>
      </c>
      <c r="G28" s="10">
        <v>46161</v>
      </c>
      <c r="H28" s="11">
        <v>29122</v>
      </c>
    </row>
    <row r="29" spans="2:8" ht="20.100000000000001" customHeight="1" x14ac:dyDescent="0.4">
      <c r="B29" s="12">
        <v>46166</v>
      </c>
      <c r="C29" s="13" t="s">
        <v>46</v>
      </c>
      <c r="D29" s="14" t="s">
        <v>13</v>
      </c>
      <c r="E29" s="14" t="s">
        <v>25</v>
      </c>
      <c r="F29" s="14">
        <v>364</v>
      </c>
      <c r="G29" s="15">
        <v>46239</v>
      </c>
      <c r="H29" s="16">
        <v>43119</v>
      </c>
    </row>
    <row r="30" spans="2:8" ht="20.100000000000001" customHeight="1" x14ac:dyDescent="0.4">
      <c r="B30" s="7">
        <v>46165</v>
      </c>
      <c r="C30" s="8" t="s">
        <v>47</v>
      </c>
      <c r="D30" s="9" t="s">
        <v>22</v>
      </c>
      <c r="E30" s="9" t="s">
        <v>25</v>
      </c>
      <c r="F30" s="9">
        <v>386</v>
      </c>
      <c r="G30" s="10">
        <v>46248</v>
      </c>
      <c r="H30" s="11">
        <v>46447</v>
      </c>
    </row>
    <row r="31" spans="2:8" ht="20.100000000000001" customHeight="1" x14ac:dyDescent="0.4">
      <c r="B31" s="12">
        <v>46091</v>
      </c>
      <c r="C31" s="13" t="s">
        <v>48</v>
      </c>
      <c r="D31" s="14" t="s">
        <v>22</v>
      </c>
      <c r="E31" s="14" t="s">
        <v>35</v>
      </c>
      <c r="F31" s="14">
        <v>189</v>
      </c>
      <c r="G31" s="15">
        <v>46165</v>
      </c>
      <c r="H31" s="16">
        <v>21249</v>
      </c>
    </row>
    <row r="32" spans="2:8" ht="20.100000000000001" customHeight="1" x14ac:dyDescent="0.4">
      <c r="B32" s="7">
        <v>46109</v>
      </c>
      <c r="C32" s="8" t="s">
        <v>49</v>
      </c>
      <c r="D32" s="9" t="s">
        <v>30</v>
      </c>
      <c r="E32" s="9" t="s">
        <v>14</v>
      </c>
      <c r="F32" s="9">
        <v>142</v>
      </c>
      <c r="G32" s="10">
        <v>46194</v>
      </c>
      <c r="H32" s="11">
        <v>10388</v>
      </c>
    </row>
    <row r="33" spans="2:8" ht="20.100000000000001" customHeight="1" x14ac:dyDescent="0.4">
      <c r="B33" s="12">
        <v>46167</v>
      </c>
      <c r="C33" s="13" t="s">
        <v>50</v>
      </c>
      <c r="D33" s="14" t="s">
        <v>24</v>
      </c>
      <c r="E33" s="14" t="s">
        <v>18</v>
      </c>
      <c r="F33" s="14">
        <v>85</v>
      </c>
      <c r="G33" s="15">
        <v>46206</v>
      </c>
      <c r="H33" s="16">
        <v>49560</v>
      </c>
    </row>
    <row r="34" spans="2:8" ht="20.100000000000001" customHeight="1" x14ac:dyDescent="0.4">
      <c r="B34" s="7">
        <v>46185</v>
      </c>
      <c r="C34" s="8" t="s">
        <v>51</v>
      </c>
      <c r="D34" s="9" t="s">
        <v>22</v>
      </c>
      <c r="E34" s="9" t="s">
        <v>14</v>
      </c>
      <c r="F34" s="9">
        <v>432</v>
      </c>
      <c r="G34" s="10">
        <v>46248</v>
      </c>
      <c r="H34" s="11">
        <v>15098</v>
      </c>
    </row>
    <row r="35" spans="2:8" ht="20.100000000000001" customHeight="1" x14ac:dyDescent="0.4">
      <c r="B35" s="12">
        <v>46119</v>
      </c>
      <c r="C35" s="13" t="s">
        <v>52</v>
      </c>
      <c r="D35" s="14" t="s">
        <v>20</v>
      </c>
      <c r="E35" s="14" t="s">
        <v>18</v>
      </c>
      <c r="F35" s="14">
        <v>224</v>
      </c>
      <c r="G35" s="15">
        <v>46159</v>
      </c>
      <c r="H35" s="16">
        <v>25251</v>
      </c>
    </row>
    <row r="36" spans="2:8" ht="20.100000000000001" customHeight="1" x14ac:dyDescent="0.4">
      <c r="B36" s="7">
        <v>46102</v>
      </c>
      <c r="C36" s="8" t="s">
        <v>53</v>
      </c>
      <c r="D36" s="9" t="s">
        <v>24</v>
      </c>
      <c r="E36" s="9" t="s">
        <v>11</v>
      </c>
      <c r="F36" s="9">
        <v>447</v>
      </c>
      <c r="G36" s="10">
        <v>46192</v>
      </c>
      <c r="H36" s="11">
        <v>38197</v>
      </c>
    </row>
    <row r="37" spans="2:8" ht="20.100000000000001" customHeight="1" x14ac:dyDescent="0.4">
      <c r="B37" s="12">
        <v>46175</v>
      </c>
      <c r="C37" s="13" t="s">
        <v>54</v>
      </c>
      <c r="D37" s="14" t="s">
        <v>22</v>
      </c>
      <c r="E37" s="14" t="s">
        <v>14</v>
      </c>
      <c r="F37" s="14">
        <v>129</v>
      </c>
      <c r="G37" s="15">
        <v>46215</v>
      </c>
      <c r="H37" s="16">
        <v>41490</v>
      </c>
    </row>
    <row r="38" spans="2:8" ht="20.100000000000001" customHeight="1" x14ac:dyDescent="0.4">
      <c r="B38" s="7">
        <v>46035</v>
      </c>
      <c r="C38" s="8" t="s">
        <v>55</v>
      </c>
      <c r="D38" s="9" t="s">
        <v>24</v>
      </c>
      <c r="E38" s="9" t="s">
        <v>14</v>
      </c>
      <c r="F38" s="9">
        <v>189</v>
      </c>
      <c r="G38" s="10">
        <v>46093</v>
      </c>
      <c r="H38" s="11">
        <v>44380</v>
      </c>
    </row>
    <row r="39" spans="2:8" ht="20.100000000000001" customHeight="1" x14ac:dyDescent="0.4">
      <c r="B39" s="12">
        <v>46131</v>
      </c>
      <c r="C39" s="13" t="s">
        <v>56</v>
      </c>
      <c r="D39" s="14" t="s">
        <v>20</v>
      </c>
      <c r="E39" s="14" t="s">
        <v>25</v>
      </c>
      <c r="F39" s="14">
        <v>276</v>
      </c>
      <c r="G39" s="15">
        <v>46187</v>
      </c>
      <c r="H39" s="16">
        <v>18902</v>
      </c>
    </row>
    <row r="40" spans="2:8" ht="20.100000000000001" customHeight="1" x14ac:dyDescent="0.4">
      <c r="B40" s="7">
        <v>46078</v>
      </c>
      <c r="C40" s="8" t="s">
        <v>57</v>
      </c>
      <c r="D40" s="9" t="s">
        <v>13</v>
      </c>
      <c r="E40" s="9" t="s">
        <v>25</v>
      </c>
      <c r="F40" s="9">
        <v>108</v>
      </c>
      <c r="G40" s="10">
        <v>46130</v>
      </c>
      <c r="H40" s="11">
        <v>29174</v>
      </c>
    </row>
    <row r="41" spans="2:8" ht="20.100000000000001" customHeight="1" x14ac:dyDescent="0.4">
      <c r="B41" s="12">
        <v>46051</v>
      </c>
      <c r="C41" s="13" t="s">
        <v>58</v>
      </c>
      <c r="D41" s="14" t="s">
        <v>30</v>
      </c>
      <c r="E41" s="14" t="s">
        <v>25</v>
      </c>
      <c r="F41" s="14">
        <v>299</v>
      </c>
      <c r="G41" s="15">
        <v>46114</v>
      </c>
      <c r="H41" s="16">
        <v>44721</v>
      </c>
    </row>
    <row r="42" spans="2:8" ht="20.100000000000001" customHeight="1" x14ac:dyDescent="0.4">
      <c r="B42" s="7">
        <v>46101</v>
      </c>
      <c r="C42" s="8" t="s">
        <v>59</v>
      </c>
      <c r="D42" s="9" t="s">
        <v>22</v>
      </c>
      <c r="E42" s="9" t="s">
        <v>35</v>
      </c>
      <c r="F42" s="9">
        <v>252</v>
      </c>
      <c r="G42" s="10">
        <v>46169</v>
      </c>
      <c r="H42" s="11">
        <v>4590</v>
      </c>
    </row>
    <row r="43" spans="2:8" ht="20.100000000000001" customHeight="1" x14ac:dyDescent="0.4">
      <c r="B43" s="12">
        <v>46024</v>
      </c>
      <c r="C43" s="13" t="s">
        <v>60</v>
      </c>
      <c r="D43" s="14" t="s">
        <v>17</v>
      </c>
      <c r="E43" s="14" t="s">
        <v>11</v>
      </c>
      <c r="F43" s="14">
        <v>158</v>
      </c>
      <c r="G43" s="15">
        <v>46103</v>
      </c>
      <c r="H43" s="16">
        <v>9993</v>
      </c>
    </row>
    <row r="44" spans="2:8" ht="20.100000000000001" customHeight="1" x14ac:dyDescent="0.4">
      <c r="B44" s="7">
        <v>46088</v>
      </c>
      <c r="C44" s="8" t="s">
        <v>61</v>
      </c>
      <c r="D44" s="9" t="s">
        <v>30</v>
      </c>
      <c r="E44" s="9" t="s">
        <v>11</v>
      </c>
      <c r="F44" s="9">
        <v>111</v>
      </c>
      <c r="G44" s="10">
        <v>46118</v>
      </c>
      <c r="H44" s="11">
        <v>33596</v>
      </c>
    </row>
    <row r="45" spans="2:8" ht="20.100000000000001" customHeight="1" x14ac:dyDescent="0.4">
      <c r="B45" s="12">
        <v>46133</v>
      </c>
      <c r="C45" s="13" t="s">
        <v>62</v>
      </c>
      <c r="D45" s="14" t="s">
        <v>17</v>
      </c>
      <c r="E45" s="14" t="s">
        <v>35</v>
      </c>
      <c r="F45" s="14">
        <v>244</v>
      </c>
      <c r="G45" s="15">
        <v>46197</v>
      </c>
      <c r="H45" s="16">
        <v>47115</v>
      </c>
    </row>
    <row r="46" spans="2:8" ht="20.100000000000001" customHeight="1" x14ac:dyDescent="0.4">
      <c r="B46" s="7">
        <v>46081</v>
      </c>
      <c r="C46" s="8" t="s">
        <v>63</v>
      </c>
      <c r="D46" s="9" t="s">
        <v>10</v>
      </c>
      <c r="E46" s="9" t="s">
        <v>25</v>
      </c>
      <c r="F46" s="9">
        <v>476</v>
      </c>
      <c r="G46" s="10">
        <v>46153</v>
      </c>
      <c r="H46" s="11">
        <v>24210</v>
      </c>
    </row>
    <row r="47" spans="2:8" ht="20.100000000000001" customHeight="1" x14ac:dyDescent="0.4">
      <c r="B47" s="12">
        <v>46041</v>
      </c>
      <c r="C47" s="13" t="s">
        <v>64</v>
      </c>
      <c r="D47" s="14" t="s">
        <v>20</v>
      </c>
      <c r="E47" s="14" t="s">
        <v>14</v>
      </c>
      <c r="F47" s="14">
        <v>273</v>
      </c>
      <c r="G47" s="15">
        <v>46072</v>
      </c>
      <c r="H47" s="16">
        <v>31130</v>
      </c>
    </row>
    <row r="48" spans="2:8" ht="20.100000000000001" customHeight="1" x14ac:dyDescent="0.4">
      <c r="B48" s="7">
        <v>46042</v>
      </c>
      <c r="C48" s="8" t="s">
        <v>65</v>
      </c>
      <c r="D48" s="9" t="s">
        <v>13</v>
      </c>
      <c r="E48" s="9" t="s">
        <v>11</v>
      </c>
      <c r="F48" s="9">
        <v>344</v>
      </c>
      <c r="G48" s="10">
        <v>46099</v>
      </c>
      <c r="H48" s="11">
        <v>38578</v>
      </c>
    </row>
    <row r="49" spans="2:8" ht="20.100000000000001" customHeight="1" x14ac:dyDescent="0.4">
      <c r="B49" s="12">
        <v>46126</v>
      </c>
      <c r="C49" s="13" t="s">
        <v>66</v>
      </c>
      <c r="D49" s="14" t="s">
        <v>24</v>
      </c>
      <c r="E49" s="14" t="s">
        <v>18</v>
      </c>
      <c r="F49" s="14">
        <v>198</v>
      </c>
      <c r="G49" s="15">
        <v>46163</v>
      </c>
      <c r="H49" s="16">
        <v>27544</v>
      </c>
    </row>
    <row r="50" spans="2:8" ht="20.100000000000001" customHeight="1" x14ac:dyDescent="0.4">
      <c r="B50" s="7">
        <v>46028</v>
      </c>
      <c r="C50" s="8" t="s">
        <v>67</v>
      </c>
      <c r="D50" s="9" t="s">
        <v>30</v>
      </c>
      <c r="E50" s="9" t="s">
        <v>35</v>
      </c>
      <c r="F50" s="9">
        <v>460</v>
      </c>
      <c r="G50" s="10">
        <v>46118</v>
      </c>
      <c r="H50" s="11">
        <v>41509</v>
      </c>
    </row>
    <row r="51" spans="2:8" ht="20.100000000000001" customHeight="1" x14ac:dyDescent="0.4">
      <c r="B51" s="12">
        <v>46140</v>
      </c>
      <c r="C51" s="13" t="s">
        <v>68</v>
      </c>
      <c r="D51" s="14" t="s">
        <v>13</v>
      </c>
      <c r="E51" s="14" t="s">
        <v>11</v>
      </c>
      <c r="F51" s="14">
        <v>95</v>
      </c>
      <c r="G51" s="15">
        <v>46197</v>
      </c>
      <c r="H51" s="16">
        <v>7937</v>
      </c>
    </row>
    <row r="52" spans="2:8" ht="20.100000000000001" customHeight="1" x14ac:dyDescent="0.4">
      <c r="B52" s="7">
        <v>46085</v>
      </c>
      <c r="C52" s="8" t="s">
        <v>69</v>
      </c>
      <c r="D52" s="9" t="s">
        <v>20</v>
      </c>
      <c r="E52" s="9" t="s">
        <v>25</v>
      </c>
      <c r="F52" s="9">
        <v>255</v>
      </c>
      <c r="G52" s="10">
        <v>46148</v>
      </c>
      <c r="H52" s="11">
        <v>6154</v>
      </c>
    </row>
    <row r="53" spans="2:8" ht="20.100000000000001" customHeight="1" x14ac:dyDescent="0.4">
      <c r="B53" s="12">
        <v>46124</v>
      </c>
      <c r="C53" s="13" t="s">
        <v>70</v>
      </c>
      <c r="D53" s="14" t="s">
        <v>13</v>
      </c>
      <c r="E53" s="14" t="s">
        <v>11</v>
      </c>
      <c r="F53" s="14">
        <v>431</v>
      </c>
      <c r="G53" s="15">
        <v>46175</v>
      </c>
      <c r="H53" s="16">
        <v>15520</v>
      </c>
    </row>
    <row r="54" spans="2:8" ht="20.100000000000001" customHeight="1" x14ac:dyDescent="0.4">
      <c r="B54" s="7">
        <v>46108</v>
      </c>
      <c r="C54" s="8" t="s">
        <v>71</v>
      </c>
      <c r="D54" s="9" t="s">
        <v>13</v>
      </c>
      <c r="E54" s="9" t="s">
        <v>35</v>
      </c>
      <c r="F54" s="9">
        <v>89</v>
      </c>
      <c r="G54" s="10">
        <v>46170</v>
      </c>
      <c r="H54" s="11">
        <v>42499</v>
      </c>
    </row>
    <row r="55" spans="2:8" ht="20.100000000000001" customHeight="1" x14ac:dyDescent="0.4">
      <c r="B55" s="12">
        <v>46052</v>
      </c>
      <c r="C55" s="13" t="s">
        <v>72</v>
      </c>
      <c r="D55" s="14" t="s">
        <v>10</v>
      </c>
      <c r="E55" s="14" t="s">
        <v>25</v>
      </c>
      <c r="F55" s="14">
        <v>149</v>
      </c>
      <c r="G55" s="15">
        <v>46139</v>
      </c>
      <c r="H55" s="16">
        <v>23896</v>
      </c>
    </row>
    <row r="56" spans="2:8" ht="20.100000000000001" customHeight="1" x14ac:dyDescent="0.4">
      <c r="B56" s="7">
        <v>46112</v>
      </c>
      <c r="C56" s="8" t="s">
        <v>73</v>
      </c>
      <c r="D56" s="9" t="s">
        <v>24</v>
      </c>
      <c r="E56" s="9" t="s">
        <v>35</v>
      </c>
      <c r="F56" s="9">
        <v>170</v>
      </c>
      <c r="G56" s="10">
        <v>46148</v>
      </c>
      <c r="H56" s="11">
        <v>10597</v>
      </c>
    </row>
    <row r="57" spans="2:8" ht="20.100000000000001" customHeight="1" x14ac:dyDescent="0.4">
      <c r="B57" s="12">
        <v>46088</v>
      </c>
      <c r="C57" s="13" t="s">
        <v>74</v>
      </c>
      <c r="D57" s="14" t="s">
        <v>17</v>
      </c>
      <c r="E57" s="14" t="s">
        <v>35</v>
      </c>
      <c r="F57" s="14">
        <v>358</v>
      </c>
      <c r="G57" s="15">
        <v>46127</v>
      </c>
      <c r="H57" s="16">
        <v>43959</v>
      </c>
    </row>
    <row r="58" spans="2:8" ht="20.100000000000001" customHeight="1" x14ac:dyDescent="0.4">
      <c r="B58" s="7">
        <v>46042</v>
      </c>
      <c r="C58" s="8" t="s">
        <v>75</v>
      </c>
      <c r="D58" s="9" t="s">
        <v>17</v>
      </c>
      <c r="E58" s="9" t="s">
        <v>18</v>
      </c>
      <c r="F58" s="9">
        <v>287</v>
      </c>
      <c r="G58" s="10">
        <v>46120</v>
      </c>
      <c r="H58" s="11">
        <v>37944</v>
      </c>
    </row>
    <row r="59" spans="2:8" ht="20.100000000000001" customHeight="1" x14ac:dyDescent="0.4">
      <c r="B59" s="12">
        <v>46171</v>
      </c>
      <c r="C59" s="13" t="s">
        <v>76</v>
      </c>
      <c r="D59" s="14" t="s">
        <v>20</v>
      </c>
      <c r="E59" s="14" t="s">
        <v>25</v>
      </c>
      <c r="F59" s="14">
        <v>379</v>
      </c>
      <c r="G59" s="15">
        <v>46241</v>
      </c>
      <c r="H59" s="16">
        <v>41928</v>
      </c>
    </row>
    <row r="60" spans="2:8" ht="20.100000000000001" customHeight="1" x14ac:dyDescent="0.4">
      <c r="B60" s="7">
        <v>46105</v>
      </c>
      <c r="C60" s="8" t="s">
        <v>77</v>
      </c>
      <c r="D60" s="9" t="s">
        <v>13</v>
      </c>
      <c r="E60" s="9" t="s">
        <v>11</v>
      </c>
      <c r="F60" s="9">
        <v>127</v>
      </c>
      <c r="G60" s="10">
        <v>46163</v>
      </c>
      <c r="H60" s="11">
        <v>5475</v>
      </c>
    </row>
    <row r="61" spans="2:8" ht="20.100000000000001" customHeight="1" x14ac:dyDescent="0.4">
      <c r="B61" s="12">
        <v>46143</v>
      </c>
      <c r="C61" s="13" t="s">
        <v>78</v>
      </c>
      <c r="D61" s="14" t="s">
        <v>20</v>
      </c>
      <c r="E61" s="14" t="s">
        <v>11</v>
      </c>
      <c r="F61" s="14">
        <v>457</v>
      </c>
      <c r="G61" s="15">
        <v>46190</v>
      </c>
      <c r="H61" s="16">
        <v>39759</v>
      </c>
    </row>
    <row r="62" spans="2:8" ht="20.100000000000001" customHeight="1" x14ac:dyDescent="0.4">
      <c r="B62" s="7">
        <v>46037</v>
      </c>
      <c r="C62" s="8" t="s">
        <v>79</v>
      </c>
      <c r="D62" s="9" t="s">
        <v>30</v>
      </c>
      <c r="E62" s="9" t="s">
        <v>25</v>
      </c>
      <c r="F62" s="9">
        <v>87</v>
      </c>
      <c r="G62" s="10">
        <v>46086</v>
      </c>
      <c r="H62" s="11">
        <v>31260</v>
      </c>
    </row>
    <row r="63" spans="2:8" ht="20.100000000000001" customHeight="1" x14ac:dyDescent="0.4">
      <c r="B63" s="12">
        <v>46138</v>
      </c>
      <c r="C63" s="13" t="s">
        <v>80</v>
      </c>
      <c r="D63" s="14" t="s">
        <v>22</v>
      </c>
      <c r="E63" s="14" t="s">
        <v>14</v>
      </c>
      <c r="F63" s="14">
        <v>238</v>
      </c>
      <c r="G63" s="15">
        <v>46221</v>
      </c>
      <c r="H63" s="16">
        <v>19813</v>
      </c>
    </row>
    <row r="64" spans="2:8" ht="20.100000000000001" customHeight="1" x14ac:dyDescent="0.4">
      <c r="B64" s="7">
        <v>46042</v>
      </c>
      <c r="C64" s="8" t="s">
        <v>81</v>
      </c>
      <c r="D64" s="9" t="s">
        <v>24</v>
      </c>
      <c r="E64" s="9" t="s">
        <v>14</v>
      </c>
      <c r="F64" s="9">
        <v>364</v>
      </c>
      <c r="G64" s="10">
        <v>46110</v>
      </c>
      <c r="H64" s="11">
        <v>34231</v>
      </c>
    </row>
    <row r="65" spans="2:8" ht="20.100000000000001" customHeight="1" x14ac:dyDescent="0.4">
      <c r="B65" s="12">
        <v>46121</v>
      </c>
      <c r="C65" s="13" t="s">
        <v>82</v>
      </c>
      <c r="D65" s="14" t="s">
        <v>20</v>
      </c>
      <c r="E65" s="14" t="s">
        <v>25</v>
      </c>
      <c r="F65" s="14">
        <v>333</v>
      </c>
      <c r="G65" s="15">
        <v>46201</v>
      </c>
      <c r="H65" s="16">
        <v>49425</v>
      </c>
    </row>
    <row r="66" spans="2:8" ht="20.100000000000001" customHeight="1" x14ac:dyDescent="0.4">
      <c r="B66" s="7">
        <v>46033</v>
      </c>
      <c r="C66" s="8" t="s">
        <v>83</v>
      </c>
      <c r="D66" s="9" t="s">
        <v>20</v>
      </c>
      <c r="E66" s="9" t="s">
        <v>25</v>
      </c>
      <c r="F66" s="9">
        <v>383</v>
      </c>
      <c r="G66" s="10">
        <v>46075</v>
      </c>
      <c r="H66" s="11">
        <v>22071</v>
      </c>
    </row>
    <row r="67" spans="2:8" ht="20.100000000000001" customHeight="1" x14ac:dyDescent="0.4">
      <c r="B67" s="12">
        <v>46177</v>
      </c>
      <c r="C67" s="13" t="s">
        <v>84</v>
      </c>
      <c r="D67" s="14" t="s">
        <v>20</v>
      </c>
      <c r="E67" s="14" t="s">
        <v>25</v>
      </c>
      <c r="F67" s="14">
        <v>127</v>
      </c>
      <c r="G67" s="15">
        <v>46210</v>
      </c>
      <c r="H67" s="16">
        <v>30525</v>
      </c>
    </row>
    <row r="68" spans="2:8" ht="20.100000000000001" customHeight="1" x14ac:dyDescent="0.4">
      <c r="B68" s="7">
        <v>46049</v>
      </c>
      <c r="C68" s="8" t="s">
        <v>85</v>
      </c>
      <c r="D68" s="9" t="s">
        <v>13</v>
      </c>
      <c r="E68" s="9" t="s">
        <v>11</v>
      </c>
      <c r="F68" s="9">
        <v>415</v>
      </c>
      <c r="G68" s="10">
        <v>46084</v>
      </c>
      <c r="H68" s="11">
        <v>34066</v>
      </c>
    </row>
    <row r="69" spans="2:8" ht="20.100000000000001" customHeight="1" x14ac:dyDescent="0.4">
      <c r="B69" s="12">
        <v>46188</v>
      </c>
      <c r="C69" s="13" t="s">
        <v>86</v>
      </c>
      <c r="D69" s="14" t="s">
        <v>17</v>
      </c>
      <c r="E69" s="14" t="s">
        <v>14</v>
      </c>
      <c r="F69" s="14">
        <v>176</v>
      </c>
      <c r="G69" s="15">
        <v>46263</v>
      </c>
      <c r="H69" s="16">
        <v>29688</v>
      </c>
    </row>
    <row r="70" spans="2:8" ht="20.100000000000001" customHeight="1" x14ac:dyDescent="0.4">
      <c r="B70" s="7">
        <v>46135</v>
      </c>
      <c r="C70" s="8" t="s">
        <v>87</v>
      </c>
      <c r="D70" s="9" t="s">
        <v>10</v>
      </c>
      <c r="E70" s="9" t="s">
        <v>25</v>
      </c>
      <c r="F70" s="9">
        <v>362</v>
      </c>
      <c r="G70" s="10">
        <v>46175</v>
      </c>
      <c r="H70" s="11">
        <v>24848</v>
      </c>
    </row>
    <row r="71" spans="2:8" ht="20.100000000000001" customHeight="1" x14ac:dyDescent="0.4">
      <c r="B71" s="12">
        <v>46118</v>
      </c>
      <c r="C71" s="13" t="s">
        <v>88</v>
      </c>
      <c r="D71" s="14" t="s">
        <v>30</v>
      </c>
      <c r="E71" s="14" t="s">
        <v>18</v>
      </c>
      <c r="F71" s="14">
        <v>259</v>
      </c>
      <c r="G71" s="15">
        <v>46197</v>
      </c>
      <c r="H71" s="16">
        <v>23175</v>
      </c>
    </row>
    <row r="72" spans="2:8" ht="20.100000000000001" customHeight="1" x14ac:dyDescent="0.4">
      <c r="B72" s="7">
        <v>46196</v>
      </c>
      <c r="C72" s="8" t="s">
        <v>89</v>
      </c>
      <c r="D72" s="9" t="s">
        <v>10</v>
      </c>
      <c r="E72" s="9" t="s">
        <v>14</v>
      </c>
      <c r="F72" s="9">
        <v>454</v>
      </c>
      <c r="G72" s="10">
        <v>46266</v>
      </c>
      <c r="H72" s="11">
        <v>43421</v>
      </c>
    </row>
    <row r="73" spans="2:8" ht="20.100000000000001" customHeight="1" x14ac:dyDescent="0.4">
      <c r="B73" s="12">
        <v>46108</v>
      </c>
      <c r="C73" s="13" t="s">
        <v>90</v>
      </c>
      <c r="D73" s="14" t="s">
        <v>22</v>
      </c>
      <c r="E73" s="14" t="s">
        <v>11</v>
      </c>
      <c r="F73" s="14">
        <v>98</v>
      </c>
      <c r="G73" s="15">
        <v>46173</v>
      </c>
      <c r="H73" s="16">
        <v>45458</v>
      </c>
    </row>
    <row r="74" spans="2:8" ht="20.100000000000001" customHeight="1" x14ac:dyDescent="0.4">
      <c r="B74" s="7">
        <v>46121</v>
      </c>
      <c r="C74" s="8" t="s">
        <v>91</v>
      </c>
      <c r="D74" s="9" t="s">
        <v>30</v>
      </c>
      <c r="E74" s="9" t="s">
        <v>11</v>
      </c>
      <c r="F74" s="9">
        <v>420</v>
      </c>
      <c r="G74" s="10">
        <v>46205</v>
      </c>
      <c r="H74" s="11">
        <v>44028</v>
      </c>
    </row>
    <row r="75" spans="2:8" ht="20.100000000000001" customHeight="1" x14ac:dyDescent="0.4">
      <c r="B75" s="12">
        <v>46177</v>
      </c>
      <c r="C75" s="13" t="s">
        <v>92</v>
      </c>
      <c r="D75" s="14" t="s">
        <v>13</v>
      </c>
      <c r="E75" s="14" t="s">
        <v>35</v>
      </c>
      <c r="F75" s="14">
        <v>220</v>
      </c>
      <c r="G75" s="15">
        <v>46212</v>
      </c>
      <c r="H75" s="16">
        <v>39190</v>
      </c>
    </row>
    <row r="76" spans="2:8" ht="20.100000000000001" customHeight="1" x14ac:dyDescent="0.4">
      <c r="B76" s="7">
        <v>46192</v>
      </c>
      <c r="C76" s="8" t="s">
        <v>93</v>
      </c>
      <c r="D76" s="9" t="s">
        <v>17</v>
      </c>
      <c r="E76" s="9" t="s">
        <v>11</v>
      </c>
      <c r="F76" s="9">
        <v>208</v>
      </c>
      <c r="G76" s="10">
        <v>46263</v>
      </c>
      <c r="H76" s="11">
        <v>46775</v>
      </c>
    </row>
    <row r="77" spans="2:8" ht="20.100000000000001" customHeight="1" x14ac:dyDescent="0.4">
      <c r="B77" s="12">
        <v>46192</v>
      </c>
      <c r="C77" s="13" t="s">
        <v>94</v>
      </c>
      <c r="D77" s="14" t="s">
        <v>20</v>
      </c>
      <c r="E77" s="14" t="s">
        <v>35</v>
      </c>
      <c r="F77" s="14">
        <v>354</v>
      </c>
      <c r="G77" s="15">
        <v>46267</v>
      </c>
      <c r="H77" s="16">
        <v>6552</v>
      </c>
    </row>
    <row r="78" spans="2:8" ht="20.100000000000001" customHeight="1" x14ac:dyDescent="0.4">
      <c r="B78" s="7">
        <v>46102</v>
      </c>
      <c r="C78" s="8" t="s">
        <v>95</v>
      </c>
      <c r="D78" s="9" t="s">
        <v>10</v>
      </c>
      <c r="E78" s="9" t="s">
        <v>18</v>
      </c>
      <c r="F78" s="9">
        <v>379</v>
      </c>
      <c r="G78" s="10">
        <v>46182</v>
      </c>
      <c r="H78" s="11">
        <v>22527</v>
      </c>
    </row>
    <row r="79" spans="2:8" ht="20.100000000000001" customHeight="1" x14ac:dyDescent="0.4">
      <c r="B79" s="12">
        <v>46055</v>
      </c>
      <c r="C79" s="13" t="s">
        <v>96</v>
      </c>
      <c r="D79" s="14" t="s">
        <v>24</v>
      </c>
      <c r="E79" s="14" t="s">
        <v>25</v>
      </c>
      <c r="F79" s="14">
        <v>97</v>
      </c>
      <c r="G79" s="15">
        <v>46126</v>
      </c>
      <c r="H79" s="16">
        <v>44939</v>
      </c>
    </row>
    <row r="80" spans="2:8" ht="20.100000000000001" customHeight="1" x14ac:dyDescent="0.4">
      <c r="B80" s="7">
        <v>46131</v>
      </c>
      <c r="C80" s="8" t="s">
        <v>97</v>
      </c>
      <c r="D80" s="9" t="s">
        <v>10</v>
      </c>
      <c r="E80" s="9" t="s">
        <v>11</v>
      </c>
      <c r="F80" s="9">
        <v>59</v>
      </c>
      <c r="G80" s="10">
        <v>46184</v>
      </c>
      <c r="H80" s="11">
        <v>21241</v>
      </c>
    </row>
    <row r="81" spans="2:8" ht="20.100000000000001" customHeight="1" x14ac:dyDescent="0.4">
      <c r="B81" s="12">
        <v>46069</v>
      </c>
      <c r="C81" s="13" t="s">
        <v>98</v>
      </c>
      <c r="D81" s="14" t="s">
        <v>17</v>
      </c>
      <c r="E81" s="14" t="s">
        <v>11</v>
      </c>
      <c r="F81" s="14">
        <v>442</v>
      </c>
      <c r="G81" s="15">
        <v>46130</v>
      </c>
      <c r="H81" s="16">
        <v>13583</v>
      </c>
    </row>
    <row r="82" spans="2:8" ht="20.100000000000001" customHeight="1" x14ac:dyDescent="0.4">
      <c r="B82" s="7">
        <v>46080</v>
      </c>
      <c r="C82" s="8" t="s">
        <v>99</v>
      </c>
      <c r="D82" s="9" t="s">
        <v>17</v>
      </c>
      <c r="E82" s="9" t="s">
        <v>35</v>
      </c>
      <c r="F82" s="9">
        <v>89</v>
      </c>
      <c r="G82" s="10">
        <v>46128</v>
      </c>
      <c r="H82" s="11">
        <v>7628</v>
      </c>
    </row>
    <row r="83" spans="2:8" ht="20.100000000000001" customHeight="1" x14ac:dyDescent="0.4">
      <c r="B83" s="12">
        <v>46152</v>
      </c>
      <c r="C83" s="13" t="s">
        <v>100</v>
      </c>
      <c r="D83" s="14" t="s">
        <v>13</v>
      </c>
      <c r="E83" s="14" t="s">
        <v>25</v>
      </c>
      <c r="F83" s="14">
        <v>477</v>
      </c>
      <c r="G83" s="15">
        <v>46229</v>
      </c>
      <c r="H83" s="16">
        <v>35506</v>
      </c>
    </row>
    <row r="84" spans="2:8" ht="20.100000000000001" customHeight="1" x14ac:dyDescent="0.4">
      <c r="B84" s="7">
        <v>46032</v>
      </c>
      <c r="C84" s="8" t="s">
        <v>101</v>
      </c>
      <c r="D84" s="9" t="s">
        <v>24</v>
      </c>
      <c r="E84" s="9" t="s">
        <v>11</v>
      </c>
      <c r="F84" s="9">
        <v>498</v>
      </c>
      <c r="G84" s="10">
        <v>46111</v>
      </c>
      <c r="H84" s="11">
        <v>41503</v>
      </c>
    </row>
    <row r="85" spans="2:8" ht="20.100000000000001" customHeight="1" x14ac:dyDescent="0.4">
      <c r="B85" s="12">
        <v>46056</v>
      </c>
      <c r="C85" s="13" t="s">
        <v>102</v>
      </c>
      <c r="D85" s="14" t="s">
        <v>10</v>
      </c>
      <c r="E85" s="14" t="s">
        <v>18</v>
      </c>
      <c r="F85" s="14">
        <v>128</v>
      </c>
      <c r="G85" s="15">
        <v>46096</v>
      </c>
      <c r="H85" s="16">
        <v>12851</v>
      </c>
    </row>
    <row r="86" spans="2:8" ht="20.100000000000001" customHeight="1" x14ac:dyDescent="0.4">
      <c r="B86" s="7">
        <v>46200</v>
      </c>
      <c r="C86" s="8" t="s">
        <v>103</v>
      </c>
      <c r="D86" s="9" t="s">
        <v>13</v>
      </c>
      <c r="E86" s="9" t="s">
        <v>25</v>
      </c>
      <c r="F86" s="9">
        <v>464</v>
      </c>
      <c r="G86" s="10">
        <v>46287</v>
      </c>
      <c r="H86" s="11">
        <v>11848</v>
      </c>
    </row>
    <row r="87" spans="2:8" ht="20.100000000000001" customHeight="1" x14ac:dyDescent="0.4">
      <c r="B87" s="12">
        <v>46135</v>
      </c>
      <c r="C87" s="13" t="s">
        <v>104</v>
      </c>
      <c r="D87" s="14" t="s">
        <v>22</v>
      </c>
      <c r="E87" s="14" t="s">
        <v>18</v>
      </c>
      <c r="F87" s="14">
        <v>236</v>
      </c>
      <c r="G87" s="15">
        <v>46208</v>
      </c>
      <c r="H87" s="16">
        <v>48158</v>
      </c>
    </row>
    <row r="88" spans="2:8" ht="20.100000000000001" customHeight="1" x14ac:dyDescent="0.4">
      <c r="B88" s="7">
        <v>46083</v>
      </c>
      <c r="C88" s="8" t="s">
        <v>105</v>
      </c>
      <c r="D88" s="9" t="s">
        <v>20</v>
      </c>
      <c r="E88" s="9" t="s">
        <v>25</v>
      </c>
      <c r="F88" s="9">
        <v>195</v>
      </c>
      <c r="G88" s="10">
        <v>46161</v>
      </c>
      <c r="H88" s="11">
        <v>30420</v>
      </c>
    </row>
    <row r="89" spans="2:8" ht="20.100000000000001" customHeight="1" x14ac:dyDescent="0.4">
      <c r="B89" s="12">
        <v>46082</v>
      </c>
      <c r="C89" s="13" t="s">
        <v>106</v>
      </c>
      <c r="D89" s="14" t="s">
        <v>10</v>
      </c>
      <c r="E89" s="14" t="s">
        <v>35</v>
      </c>
      <c r="F89" s="14">
        <v>208</v>
      </c>
      <c r="G89" s="15">
        <v>46163</v>
      </c>
      <c r="H89" s="16">
        <v>31737</v>
      </c>
    </row>
    <row r="90" spans="2:8" ht="20.100000000000001" customHeight="1" x14ac:dyDescent="0.4">
      <c r="B90" s="7">
        <v>46072</v>
      </c>
      <c r="C90" s="8" t="s">
        <v>107</v>
      </c>
      <c r="D90" s="9" t="s">
        <v>30</v>
      </c>
      <c r="E90" s="9" t="s">
        <v>25</v>
      </c>
      <c r="F90" s="9">
        <v>275</v>
      </c>
      <c r="G90" s="10">
        <v>46131</v>
      </c>
      <c r="H90" s="11">
        <v>19466</v>
      </c>
    </row>
    <row r="91" spans="2:8" ht="20.100000000000001" customHeight="1" x14ac:dyDescent="0.4">
      <c r="B91" s="12">
        <v>46120</v>
      </c>
      <c r="C91" s="13" t="s">
        <v>108</v>
      </c>
      <c r="D91" s="14" t="s">
        <v>10</v>
      </c>
      <c r="E91" s="14" t="s">
        <v>25</v>
      </c>
      <c r="F91" s="14">
        <v>264</v>
      </c>
      <c r="G91" s="15">
        <v>46160</v>
      </c>
      <c r="H91" s="16">
        <v>14087</v>
      </c>
    </row>
    <row r="92" spans="2:8" ht="20.100000000000001" customHeight="1" x14ac:dyDescent="0.4">
      <c r="B92" s="7">
        <v>46177</v>
      </c>
      <c r="C92" s="8" t="s">
        <v>109</v>
      </c>
      <c r="D92" s="9" t="s">
        <v>17</v>
      </c>
      <c r="E92" s="9" t="s">
        <v>11</v>
      </c>
      <c r="F92" s="9">
        <v>76</v>
      </c>
      <c r="G92" s="10">
        <v>46248</v>
      </c>
      <c r="H92" s="11">
        <v>32495</v>
      </c>
    </row>
    <row r="93" spans="2:8" ht="20.100000000000001" customHeight="1" x14ac:dyDescent="0.4">
      <c r="B93" s="12">
        <v>46118</v>
      </c>
      <c r="C93" s="13" t="s">
        <v>110</v>
      </c>
      <c r="D93" s="14" t="s">
        <v>10</v>
      </c>
      <c r="E93" s="14" t="s">
        <v>14</v>
      </c>
      <c r="F93" s="14">
        <v>414</v>
      </c>
      <c r="G93" s="15">
        <v>46202</v>
      </c>
      <c r="H93" s="16">
        <v>34810</v>
      </c>
    </row>
    <row r="94" spans="2:8" ht="20.100000000000001" customHeight="1" x14ac:dyDescent="0.4">
      <c r="B94" s="7">
        <v>46054</v>
      </c>
      <c r="C94" s="8" t="s">
        <v>111</v>
      </c>
      <c r="D94" s="9" t="s">
        <v>30</v>
      </c>
      <c r="E94" s="9" t="s">
        <v>14</v>
      </c>
      <c r="F94" s="9">
        <v>440</v>
      </c>
      <c r="G94" s="10">
        <v>46094</v>
      </c>
      <c r="H94" s="11">
        <v>18877</v>
      </c>
    </row>
    <row r="95" spans="2:8" ht="20.100000000000001" customHeight="1" x14ac:dyDescent="0.4">
      <c r="B95" s="12">
        <v>46138</v>
      </c>
      <c r="C95" s="13" t="s">
        <v>112</v>
      </c>
      <c r="D95" s="14" t="s">
        <v>10</v>
      </c>
      <c r="E95" s="14" t="s">
        <v>35</v>
      </c>
      <c r="F95" s="14">
        <v>475</v>
      </c>
      <c r="G95" s="15">
        <v>46195</v>
      </c>
      <c r="H95" s="16">
        <v>7010</v>
      </c>
    </row>
    <row r="96" spans="2:8" ht="20.100000000000001" customHeight="1" x14ac:dyDescent="0.4">
      <c r="B96" s="7">
        <v>46079</v>
      </c>
      <c r="C96" s="8" t="s">
        <v>113</v>
      </c>
      <c r="D96" s="9" t="s">
        <v>13</v>
      </c>
      <c r="E96" s="9" t="s">
        <v>18</v>
      </c>
      <c r="F96" s="9">
        <v>228</v>
      </c>
      <c r="G96" s="10">
        <v>46168</v>
      </c>
      <c r="H96" s="11">
        <v>2747</v>
      </c>
    </row>
    <row r="97" spans="2:8" ht="20.100000000000001" customHeight="1" x14ac:dyDescent="0.4">
      <c r="B97" s="12">
        <v>46129</v>
      </c>
      <c r="C97" s="13" t="s">
        <v>114</v>
      </c>
      <c r="D97" s="14" t="s">
        <v>22</v>
      </c>
      <c r="E97" s="14" t="s">
        <v>18</v>
      </c>
      <c r="F97" s="14">
        <v>307</v>
      </c>
      <c r="G97" s="15">
        <v>46182</v>
      </c>
      <c r="H97" s="16">
        <v>16451</v>
      </c>
    </row>
    <row r="98" spans="2:8" ht="20.100000000000001" customHeight="1" x14ac:dyDescent="0.4">
      <c r="B98" s="7">
        <v>46121</v>
      </c>
      <c r="C98" s="8" t="s">
        <v>115</v>
      </c>
      <c r="D98" s="9" t="s">
        <v>22</v>
      </c>
      <c r="E98" s="9" t="s">
        <v>11</v>
      </c>
      <c r="F98" s="9">
        <v>164</v>
      </c>
      <c r="G98" s="10">
        <v>46152</v>
      </c>
      <c r="H98" s="11">
        <v>21885</v>
      </c>
    </row>
    <row r="99" spans="2:8" ht="20.100000000000001" customHeight="1" x14ac:dyDescent="0.4">
      <c r="B99" s="12">
        <v>46048</v>
      </c>
      <c r="C99" s="13" t="s">
        <v>116</v>
      </c>
      <c r="D99" s="14" t="s">
        <v>13</v>
      </c>
      <c r="E99" s="14" t="s">
        <v>11</v>
      </c>
      <c r="F99" s="14">
        <v>455</v>
      </c>
      <c r="G99" s="15">
        <v>46087</v>
      </c>
      <c r="H99" s="16">
        <v>10017</v>
      </c>
    </row>
    <row r="100" spans="2:8" ht="20.100000000000001" customHeight="1" x14ac:dyDescent="0.4">
      <c r="B100" s="7">
        <v>46032</v>
      </c>
      <c r="C100" s="8" t="s">
        <v>117</v>
      </c>
      <c r="D100" s="9" t="s">
        <v>30</v>
      </c>
      <c r="E100" s="9" t="s">
        <v>18</v>
      </c>
      <c r="F100" s="9">
        <v>406</v>
      </c>
      <c r="G100" s="10">
        <v>46115</v>
      </c>
      <c r="H100" s="11">
        <v>10095</v>
      </c>
    </row>
    <row r="101" spans="2:8" ht="20.100000000000001" customHeight="1" x14ac:dyDescent="0.4">
      <c r="B101" s="12">
        <v>46203</v>
      </c>
      <c r="C101" s="13" t="s">
        <v>118</v>
      </c>
      <c r="D101" s="14" t="s">
        <v>20</v>
      </c>
      <c r="E101" s="14" t="s">
        <v>18</v>
      </c>
      <c r="F101" s="14">
        <v>365</v>
      </c>
      <c r="G101" s="15">
        <v>46233</v>
      </c>
      <c r="H101" s="16">
        <v>6192</v>
      </c>
    </row>
    <row r="102" spans="2:8" ht="20.100000000000001" customHeight="1" x14ac:dyDescent="0.4">
      <c r="B102" s="7">
        <v>46027</v>
      </c>
      <c r="C102" s="8" t="s">
        <v>119</v>
      </c>
      <c r="D102" s="9" t="s">
        <v>30</v>
      </c>
      <c r="E102" s="9" t="s">
        <v>35</v>
      </c>
      <c r="F102" s="9">
        <v>477</v>
      </c>
      <c r="G102" s="10">
        <v>46066</v>
      </c>
      <c r="H102" s="11">
        <v>36966</v>
      </c>
    </row>
    <row r="103" spans="2:8" ht="20.100000000000001" customHeight="1" x14ac:dyDescent="0.4">
      <c r="B103" s="12">
        <v>46178</v>
      </c>
      <c r="C103" s="13" t="s">
        <v>120</v>
      </c>
      <c r="D103" s="14" t="s">
        <v>10</v>
      </c>
      <c r="E103" s="14" t="s">
        <v>18</v>
      </c>
      <c r="F103" s="14">
        <v>106</v>
      </c>
      <c r="G103" s="15">
        <v>46257</v>
      </c>
      <c r="H103" s="16">
        <v>19881</v>
      </c>
    </row>
    <row r="104" spans="2:8" ht="20.100000000000001" customHeight="1" x14ac:dyDescent="0.4">
      <c r="B104" s="7">
        <v>46083</v>
      </c>
      <c r="C104" s="8" t="s">
        <v>121</v>
      </c>
      <c r="D104" s="9" t="s">
        <v>30</v>
      </c>
      <c r="E104" s="9" t="s">
        <v>14</v>
      </c>
      <c r="F104" s="9">
        <v>74</v>
      </c>
      <c r="G104" s="10">
        <v>46128</v>
      </c>
      <c r="H104" s="11">
        <v>28513</v>
      </c>
    </row>
    <row r="105" spans="2:8" ht="20.100000000000001" customHeight="1" x14ac:dyDescent="0.4">
      <c r="B105" s="12">
        <v>46186</v>
      </c>
      <c r="C105" s="13" t="s">
        <v>122</v>
      </c>
      <c r="D105" s="14" t="s">
        <v>13</v>
      </c>
      <c r="E105" s="14" t="s">
        <v>25</v>
      </c>
      <c r="F105" s="14">
        <v>284</v>
      </c>
      <c r="G105" s="15">
        <v>46220</v>
      </c>
      <c r="H105" s="16">
        <v>8265</v>
      </c>
    </row>
    <row r="106" spans="2:8" ht="20.100000000000001" customHeight="1" x14ac:dyDescent="0.4">
      <c r="B106" s="7">
        <v>46150</v>
      </c>
      <c r="C106" s="8" t="s">
        <v>123</v>
      </c>
      <c r="D106" s="9" t="s">
        <v>10</v>
      </c>
      <c r="E106" s="9" t="s">
        <v>25</v>
      </c>
      <c r="F106" s="9">
        <v>58</v>
      </c>
      <c r="G106" s="10">
        <v>46220</v>
      </c>
      <c r="H106" s="11">
        <v>34775</v>
      </c>
    </row>
    <row r="107" spans="2:8" ht="20.100000000000001" customHeight="1" x14ac:dyDescent="0.4">
      <c r="B107" s="12">
        <v>46170</v>
      </c>
      <c r="C107" s="13" t="s">
        <v>124</v>
      </c>
      <c r="D107" s="14" t="s">
        <v>17</v>
      </c>
      <c r="E107" s="14" t="s">
        <v>35</v>
      </c>
      <c r="F107" s="14">
        <v>199</v>
      </c>
      <c r="G107" s="15">
        <v>46227</v>
      </c>
      <c r="H107" s="16">
        <v>1102</v>
      </c>
    </row>
    <row r="108" spans="2:8" ht="20.100000000000001" customHeight="1" x14ac:dyDescent="0.4">
      <c r="B108" s="7">
        <v>46180</v>
      </c>
      <c r="C108" s="8" t="s">
        <v>125</v>
      </c>
      <c r="D108" s="9" t="s">
        <v>30</v>
      </c>
      <c r="E108" s="9" t="s">
        <v>35</v>
      </c>
      <c r="F108" s="9">
        <v>342</v>
      </c>
      <c r="G108" s="10">
        <v>46236</v>
      </c>
      <c r="H108" s="11">
        <v>13275</v>
      </c>
    </row>
    <row r="109" spans="2:8" ht="20.100000000000001" customHeight="1" x14ac:dyDescent="0.4">
      <c r="B109" s="12">
        <v>46193</v>
      </c>
      <c r="C109" s="13" t="s">
        <v>126</v>
      </c>
      <c r="D109" s="14" t="s">
        <v>24</v>
      </c>
      <c r="E109" s="14" t="s">
        <v>14</v>
      </c>
      <c r="F109" s="14">
        <v>318</v>
      </c>
      <c r="G109" s="15">
        <v>46246</v>
      </c>
      <c r="H109" s="16">
        <v>5435</v>
      </c>
    </row>
    <row r="110" spans="2:8" ht="20.100000000000001" customHeight="1" x14ac:dyDescent="0.4">
      <c r="B110" s="7">
        <v>46157</v>
      </c>
      <c r="C110" s="8" t="s">
        <v>127</v>
      </c>
      <c r="D110" s="9" t="s">
        <v>10</v>
      </c>
      <c r="E110" s="9" t="s">
        <v>25</v>
      </c>
      <c r="F110" s="9">
        <v>452</v>
      </c>
      <c r="G110" s="10">
        <v>46219</v>
      </c>
      <c r="H110" s="11">
        <v>37316</v>
      </c>
    </row>
    <row r="111" spans="2:8" ht="20.100000000000001" customHeight="1" x14ac:dyDescent="0.4">
      <c r="B111" s="12">
        <v>46028</v>
      </c>
      <c r="C111" s="13" t="s">
        <v>128</v>
      </c>
      <c r="D111" s="14" t="s">
        <v>20</v>
      </c>
      <c r="E111" s="14" t="s">
        <v>18</v>
      </c>
      <c r="F111" s="14">
        <v>72</v>
      </c>
      <c r="G111" s="15">
        <v>46098</v>
      </c>
      <c r="H111" s="16">
        <v>26354</v>
      </c>
    </row>
    <row r="112" spans="2:8" ht="20.100000000000001" customHeight="1" x14ac:dyDescent="0.4">
      <c r="B112" s="7">
        <v>46118</v>
      </c>
      <c r="C112" s="8" t="s">
        <v>129</v>
      </c>
      <c r="D112" s="9" t="s">
        <v>30</v>
      </c>
      <c r="E112" s="9" t="s">
        <v>14</v>
      </c>
      <c r="F112" s="9">
        <v>232</v>
      </c>
      <c r="G112" s="10">
        <v>46198</v>
      </c>
      <c r="H112" s="11">
        <v>5427</v>
      </c>
    </row>
    <row r="113" spans="2:8" ht="20.100000000000001" customHeight="1" x14ac:dyDescent="0.4">
      <c r="B113" s="12">
        <v>46111</v>
      </c>
      <c r="C113" s="13" t="s">
        <v>130</v>
      </c>
      <c r="D113" s="14" t="s">
        <v>17</v>
      </c>
      <c r="E113" s="14" t="s">
        <v>14</v>
      </c>
      <c r="F113" s="14">
        <v>445</v>
      </c>
      <c r="G113" s="15">
        <v>46178</v>
      </c>
      <c r="H113" s="16">
        <v>49181</v>
      </c>
    </row>
    <row r="114" spans="2:8" ht="20.100000000000001" customHeight="1" x14ac:dyDescent="0.4">
      <c r="B114" s="7">
        <v>46108</v>
      </c>
      <c r="C114" s="8" t="s">
        <v>131</v>
      </c>
      <c r="D114" s="9" t="s">
        <v>17</v>
      </c>
      <c r="E114" s="9" t="s">
        <v>14</v>
      </c>
      <c r="F114" s="9">
        <v>230</v>
      </c>
      <c r="G114" s="10">
        <v>46172</v>
      </c>
      <c r="H114" s="11">
        <v>23187</v>
      </c>
    </row>
    <row r="115" spans="2:8" ht="20.100000000000001" customHeight="1" x14ac:dyDescent="0.4">
      <c r="B115" s="12">
        <v>46187</v>
      </c>
      <c r="C115" s="13" t="s">
        <v>132</v>
      </c>
      <c r="D115" s="14" t="s">
        <v>17</v>
      </c>
      <c r="E115" s="14" t="s">
        <v>18</v>
      </c>
      <c r="F115" s="14">
        <v>406</v>
      </c>
      <c r="G115" s="15">
        <v>46247</v>
      </c>
      <c r="H115" s="16">
        <v>42401</v>
      </c>
    </row>
    <row r="116" spans="2:8" ht="20.100000000000001" customHeight="1" x14ac:dyDescent="0.4">
      <c r="B116" s="7">
        <v>46069</v>
      </c>
      <c r="C116" s="8" t="s">
        <v>133</v>
      </c>
      <c r="D116" s="9" t="s">
        <v>13</v>
      </c>
      <c r="E116" s="9" t="s">
        <v>35</v>
      </c>
      <c r="F116" s="9">
        <v>82</v>
      </c>
      <c r="G116" s="10">
        <v>46144</v>
      </c>
      <c r="H116" s="11">
        <v>30994</v>
      </c>
    </row>
    <row r="117" spans="2:8" ht="20.100000000000001" customHeight="1" x14ac:dyDescent="0.4">
      <c r="B117" s="12">
        <v>46032</v>
      </c>
      <c r="C117" s="13" t="s">
        <v>134</v>
      </c>
      <c r="D117" s="14" t="s">
        <v>30</v>
      </c>
      <c r="E117" s="14" t="s">
        <v>35</v>
      </c>
      <c r="F117" s="14">
        <v>72</v>
      </c>
      <c r="G117" s="15">
        <v>46112</v>
      </c>
      <c r="H117" s="16">
        <v>14072</v>
      </c>
    </row>
    <row r="118" spans="2:8" ht="20.100000000000001" customHeight="1" x14ac:dyDescent="0.4">
      <c r="B118" s="7">
        <v>46033</v>
      </c>
      <c r="C118" s="8" t="s">
        <v>135</v>
      </c>
      <c r="D118" s="9" t="s">
        <v>30</v>
      </c>
      <c r="E118" s="9" t="s">
        <v>11</v>
      </c>
      <c r="F118" s="9">
        <v>313</v>
      </c>
      <c r="G118" s="10">
        <v>46088</v>
      </c>
      <c r="H118" s="11">
        <v>36588</v>
      </c>
    </row>
    <row r="119" spans="2:8" ht="20.100000000000001" customHeight="1" x14ac:dyDescent="0.4">
      <c r="B119" s="12">
        <v>46144</v>
      </c>
      <c r="C119" s="13" t="s">
        <v>136</v>
      </c>
      <c r="D119" s="14" t="s">
        <v>30</v>
      </c>
      <c r="E119" s="14" t="s">
        <v>14</v>
      </c>
      <c r="F119" s="14">
        <v>435</v>
      </c>
      <c r="G119" s="15">
        <v>46215</v>
      </c>
      <c r="H119" s="16">
        <v>13524</v>
      </c>
    </row>
    <row r="120" spans="2:8" ht="20.100000000000001" customHeight="1" x14ac:dyDescent="0.4">
      <c r="B120" s="7">
        <v>46096</v>
      </c>
      <c r="C120" s="8" t="s">
        <v>137</v>
      </c>
      <c r="D120" s="9" t="s">
        <v>30</v>
      </c>
      <c r="E120" s="9" t="s">
        <v>14</v>
      </c>
      <c r="F120" s="9">
        <v>493</v>
      </c>
      <c r="G120" s="10">
        <v>46167</v>
      </c>
      <c r="H120" s="11">
        <v>22753</v>
      </c>
    </row>
    <row r="121" spans="2:8" ht="20.100000000000001" customHeight="1" x14ac:dyDescent="0.4">
      <c r="B121" s="12">
        <v>46092</v>
      </c>
      <c r="C121" s="13" t="s">
        <v>138</v>
      </c>
      <c r="D121" s="14" t="s">
        <v>22</v>
      </c>
      <c r="E121" s="14" t="s">
        <v>11</v>
      </c>
      <c r="F121" s="14">
        <v>273</v>
      </c>
      <c r="G121" s="15">
        <v>46178</v>
      </c>
      <c r="H121" s="16">
        <v>27215</v>
      </c>
    </row>
    <row r="122" spans="2:8" ht="20.100000000000001" customHeight="1" x14ac:dyDescent="0.4">
      <c r="B122" s="7">
        <v>46135</v>
      </c>
      <c r="C122" s="8" t="s">
        <v>139</v>
      </c>
      <c r="D122" s="9" t="s">
        <v>20</v>
      </c>
      <c r="E122" s="9" t="s">
        <v>11</v>
      </c>
      <c r="F122" s="9">
        <v>145</v>
      </c>
      <c r="G122" s="10">
        <v>46196</v>
      </c>
      <c r="H122" s="11">
        <v>46355</v>
      </c>
    </row>
    <row r="123" spans="2:8" ht="20.100000000000001" customHeight="1" x14ac:dyDescent="0.4">
      <c r="B123" s="12">
        <v>46150</v>
      </c>
      <c r="C123" s="13" t="s">
        <v>140</v>
      </c>
      <c r="D123" s="14" t="s">
        <v>30</v>
      </c>
      <c r="E123" s="14" t="s">
        <v>25</v>
      </c>
      <c r="F123" s="14">
        <v>186</v>
      </c>
      <c r="G123" s="15">
        <v>46231</v>
      </c>
      <c r="H123" s="16">
        <v>6414</v>
      </c>
    </row>
    <row r="124" spans="2:8" ht="20.100000000000001" customHeight="1" x14ac:dyDescent="0.4">
      <c r="B124" s="7">
        <v>46131</v>
      </c>
      <c r="C124" s="8" t="s">
        <v>141</v>
      </c>
      <c r="D124" s="9" t="s">
        <v>22</v>
      </c>
      <c r="E124" s="9" t="s">
        <v>18</v>
      </c>
      <c r="F124" s="9">
        <v>358</v>
      </c>
      <c r="G124" s="10">
        <v>46213</v>
      </c>
      <c r="H124" s="11">
        <v>12826</v>
      </c>
    </row>
    <row r="125" spans="2:8" ht="20.100000000000001" customHeight="1" x14ac:dyDescent="0.4">
      <c r="B125" s="12">
        <v>46162</v>
      </c>
      <c r="C125" s="13" t="s">
        <v>142</v>
      </c>
      <c r="D125" s="14" t="s">
        <v>30</v>
      </c>
      <c r="E125" s="14" t="s">
        <v>11</v>
      </c>
      <c r="F125" s="14">
        <v>102</v>
      </c>
      <c r="G125" s="15">
        <v>46197</v>
      </c>
      <c r="H125" s="16">
        <v>22490</v>
      </c>
    </row>
    <row r="126" spans="2:8" ht="20.100000000000001" customHeight="1" x14ac:dyDescent="0.4">
      <c r="B126" s="7">
        <v>46192</v>
      </c>
      <c r="C126" s="8" t="s">
        <v>143</v>
      </c>
      <c r="D126" s="9" t="s">
        <v>30</v>
      </c>
      <c r="E126" s="9" t="s">
        <v>11</v>
      </c>
      <c r="F126" s="9">
        <v>278</v>
      </c>
      <c r="G126" s="10">
        <v>46260</v>
      </c>
      <c r="H126" s="11">
        <v>48032</v>
      </c>
    </row>
    <row r="127" spans="2:8" ht="20.100000000000001" customHeight="1" x14ac:dyDescent="0.4">
      <c r="B127" s="12">
        <v>46132</v>
      </c>
      <c r="C127" s="13" t="s">
        <v>144</v>
      </c>
      <c r="D127" s="14" t="s">
        <v>17</v>
      </c>
      <c r="E127" s="14" t="s">
        <v>18</v>
      </c>
      <c r="F127" s="14">
        <v>229</v>
      </c>
      <c r="G127" s="15">
        <v>46190</v>
      </c>
      <c r="H127" s="16">
        <v>3775</v>
      </c>
    </row>
    <row r="128" spans="2:8" ht="20.100000000000001" customHeight="1" x14ac:dyDescent="0.4">
      <c r="B128" s="7">
        <v>46113</v>
      </c>
      <c r="C128" s="8" t="s">
        <v>145</v>
      </c>
      <c r="D128" s="9" t="s">
        <v>10</v>
      </c>
      <c r="E128" s="9" t="s">
        <v>18</v>
      </c>
      <c r="F128" s="9">
        <v>190</v>
      </c>
      <c r="G128" s="10">
        <v>46183</v>
      </c>
      <c r="H128" s="11">
        <v>4759</v>
      </c>
    </row>
  </sheetData>
  <mergeCells count="2">
    <mergeCell ref="B2:H2"/>
    <mergeCell ref="B1:H1"/>
  </mergeCells>
  <phoneticPr fontId="4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8"/>
  <sheetViews>
    <sheetView zoomScaleNormal="100" workbookViewId="0">
      <selection activeCell="H8" sqref="H8"/>
    </sheetView>
  </sheetViews>
  <sheetFormatPr defaultRowHeight="18.75" x14ac:dyDescent="0.4"/>
  <cols>
    <col min="1" max="1" width="3" customWidth="1"/>
    <col min="2" max="2" width="14" customWidth="1"/>
    <col min="3" max="15" width="11" customWidth="1"/>
  </cols>
  <sheetData>
    <row r="2" spans="2:15" ht="27.95" customHeight="1" x14ac:dyDescent="0.4">
      <c r="B2" s="27" t="s">
        <v>225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2:15" ht="21.95" customHeight="1" x14ac:dyDescent="0.4">
      <c r="B3" s="19" t="s">
        <v>5</v>
      </c>
      <c r="C3" s="19" t="s">
        <v>227</v>
      </c>
      <c r="D3" s="19" t="s">
        <v>228</v>
      </c>
      <c r="E3" s="19" t="s">
        <v>229</v>
      </c>
      <c r="F3" s="19" t="s">
        <v>230</v>
      </c>
      <c r="G3" s="19" t="s">
        <v>231</v>
      </c>
      <c r="H3" s="19" t="s">
        <v>232</v>
      </c>
      <c r="I3" s="19" t="s">
        <v>233</v>
      </c>
      <c r="J3" s="19" t="s">
        <v>234</v>
      </c>
      <c r="K3" s="19" t="s">
        <v>235</v>
      </c>
      <c r="L3" s="19" t="s">
        <v>236</v>
      </c>
      <c r="M3" s="19" t="s">
        <v>237</v>
      </c>
      <c r="N3" s="19" t="s">
        <v>226</v>
      </c>
      <c r="O3" s="19" t="s">
        <v>146</v>
      </c>
    </row>
    <row r="4" spans="2:15" ht="21.95" customHeight="1" x14ac:dyDescent="0.4">
      <c r="B4" s="3" t="s">
        <v>14</v>
      </c>
      <c r="C4" s="5">
        <v>1307</v>
      </c>
      <c r="D4" s="5">
        <v>3749</v>
      </c>
      <c r="E4" s="5">
        <v>3611</v>
      </c>
      <c r="F4" s="5">
        <v>2663</v>
      </c>
      <c r="G4" s="5">
        <v>2488</v>
      </c>
      <c r="H4" s="5">
        <v>3101</v>
      </c>
      <c r="I4" s="5">
        <v>4281</v>
      </c>
      <c r="J4" s="5">
        <v>4071</v>
      </c>
      <c r="K4" s="5">
        <v>3782</v>
      </c>
      <c r="L4" s="5">
        <v>1655</v>
      </c>
      <c r="M4" s="5">
        <v>4902</v>
      </c>
      <c r="N4" s="5">
        <v>1127</v>
      </c>
      <c r="O4" s="5">
        <f>SUM(C4:N4)</f>
        <v>36737</v>
      </c>
    </row>
    <row r="5" spans="2:15" ht="21.95" customHeight="1" x14ac:dyDescent="0.4">
      <c r="B5" s="3" t="s">
        <v>35</v>
      </c>
      <c r="C5" s="5">
        <v>1584</v>
      </c>
      <c r="D5" s="5">
        <v>4476</v>
      </c>
      <c r="E5" s="5">
        <v>3488</v>
      </c>
      <c r="F5" s="5">
        <v>3777</v>
      </c>
      <c r="G5" s="5">
        <v>4200</v>
      </c>
      <c r="H5" s="5">
        <v>2794</v>
      </c>
      <c r="I5" s="5">
        <v>1142</v>
      </c>
      <c r="J5" s="5">
        <v>1517</v>
      </c>
      <c r="K5" s="5">
        <v>1275</v>
      </c>
      <c r="L5" s="5">
        <v>1966</v>
      </c>
      <c r="M5" s="5">
        <v>4188</v>
      </c>
      <c r="N5" s="5">
        <v>3642</v>
      </c>
      <c r="O5" s="5">
        <f>SUM(C5:N5)</f>
        <v>34049</v>
      </c>
    </row>
    <row r="6" spans="2:15" ht="21.95" customHeight="1" x14ac:dyDescent="0.4">
      <c r="B6" s="3" t="s">
        <v>11</v>
      </c>
      <c r="C6" s="5">
        <v>2500</v>
      </c>
      <c r="D6" s="5">
        <v>2483</v>
      </c>
      <c r="E6" s="5">
        <v>2568</v>
      </c>
      <c r="F6" s="5">
        <v>4889</v>
      </c>
      <c r="G6" s="5">
        <v>3323</v>
      </c>
      <c r="H6" s="5">
        <v>1132</v>
      </c>
      <c r="I6" s="5">
        <v>3478</v>
      </c>
      <c r="J6" s="5">
        <v>1628</v>
      </c>
      <c r="K6" s="5">
        <v>3781</v>
      </c>
      <c r="L6" s="5">
        <v>2842</v>
      </c>
      <c r="M6" s="5">
        <v>4886</v>
      </c>
      <c r="N6" s="5">
        <v>2519</v>
      </c>
      <c r="O6" s="5">
        <f>SUM(C6:N6)</f>
        <v>36029</v>
      </c>
    </row>
    <row r="7" spans="2:15" ht="21.95" customHeight="1" x14ac:dyDescent="0.4">
      <c r="B7" s="3" t="s">
        <v>18</v>
      </c>
      <c r="C7" s="5">
        <v>2523</v>
      </c>
      <c r="D7" s="5">
        <v>2818</v>
      </c>
      <c r="E7" s="5">
        <v>4125</v>
      </c>
      <c r="F7" s="5">
        <v>1314</v>
      </c>
      <c r="G7" s="5">
        <v>3350</v>
      </c>
      <c r="H7" s="5">
        <v>1563</v>
      </c>
      <c r="I7" s="5">
        <v>3168</v>
      </c>
      <c r="J7" s="5">
        <v>2503</v>
      </c>
      <c r="K7" s="5">
        <v>2630</v>
      </c>
      <c r="L7" s="5">
        <v>2287</v>
      </c>
      <c r="M7" s="5">
        <v>3660</v>
      </c>
      <c r="N7" s="5">
        <v>2141</v>
      </c>
      <c r="O7" s="5">
        <f>SUM(C7:N7)</f>
        <v>32082</v>
      </c>
    </row>
    <row r="8" spans="2:15" ht="21.95" customHeight="1" x14ac:dyDescent="0.4">
      <c r="B8" s="3" t="s">
        <v>25</v>
      </c>
      <c r="C8" s="5">
        <v>2022</v>
      </c>
      <c r="D8" s="5">
        <v>4934</v>
      </c>
      <c r="E8" s="5">
        <v>1464</v>
      </c>
      <c r="F8" s="5">
        <v>1106</v>
      </c>
      <c r="G8" s="5">
        <v>4013</v>
      </c>
      <c r="H8" s="5">
        <v>1762</v>
      </c>
      <c r="I8" s="5">
        <v>3044</v>
      </c>
      <c r="J8" s="5">
        <v>3120</v>
      </c>
      <c r="K8" s="5">
        <v>2585</v>
      </c>
      <c r="L8" s="5">
        <v>4741</v>
      </c>
      <c r="M8" s="5">
        <v>3300</v>
      </c>
      <c r="N8" s="5">
        <v>1482</v>
      </c>
      <c r="O8" s="5">
        <f>SUM(C8:N8)</f>
        <v>33573</v>
      </c>
    </row>
  </sheetData>
  <mergeCells count="1">
    <mergeCell ref="B2:O2"/>
  </mergeCells>
  <phoneticPr fontId="4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>
      <selection activeCell="A3" sqref="A3"/>
    </sheetView>
  </sheetViews>
  <sheetFormatPr defaultRowHeight="18.75" x14ac:dyDescent="0.4"/>
  <cols>
    <col min="1" max="1" width="12" customWidth="1"/>
    <col min="2" max="2" width="16" customWidth="1"/>
    <col min="3" max="8" width="14" customWidth="1"/>
    <col min="9" max="10" width="12" customWidth="1"/>
    <col min="11" max="11" width="14" customWidth="1"/>
    <col min="12" max="12" width="16" customWidth="1"/>
  </cols>
  <sheetData>
    <row r="1" spans="1:12" ht="27.95" customHeight="1" x14ac:dyDescent="0.4">
      <c r="A1" s="29" t="s">
        <v>147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ht="36" customHeight="1" x14ac:dyDescent="0.4">
      <c r="A3" s="21" t="s">
        <v>148</v>
      </c>
      <c r="B3" s="21" t="s">
        <v>149</v>
      </c>
      <c r="C3" s="21" t="s">
        <v>150</v>
      </c>
      <c r="D3" s="21" t="s">
        <v>151</v>
      </c>
      <c r="E3" s="21" t="s">
        <v>152</v>
      </c>
      <c r="F3" s="21" t="s">
        <v>153</v>
      </c>
      <c r="G3" s="21" t="s">
        <v>154</v>
      </c>
      <c r="H3" s="21" t="s">
        <v>155</v>
      </c>
      <c r="I3" s="21" t="s">
        <v>156</v>
      </c>
      <c r="J3" s="21" t="s">
        <v>157</v>
      </c>
      <c r="K3" s="21" t="s">
        <v>158</v>
      </c>
      <c r="L3" s="21" t="s">
        <v>159</v>
      </c>
    </row>
    <row r="4" spans="1:12" ht="20.100000000000001" customHeight="1" x14ac:dyDescent="0.4">
      <c r="A4" s="3" t="s">
        <v>160</v>
      </c>
      <c r="B4" s="3" t="s">
        <v>161</v>
      </c>
      <c r="C4" s="3">
        <v>76</v>
      </c>
      <c r="D4" s="3">
        <v>76</v>
      </c>
      <c r="E4" s="3">
        <v>88</v>
      </c>
      <c r="F4" s="3">
        <v>73</v>
      </c>
      <c r="G4" s="3">
        <v>99</v>
      </c>
      <c r="H4" s="3">
        <v>78</v>
      </c>
      <c r="I4" s="3">
        <f t="shared" ref="I4:I13" si="0">SUM(C4:H4)</f>
        <v>490</v>
      </c>
      <c r="J4" s="3" t="s">
        <v>162</v>
      </c>
      <c r="K4" s="2">
        <v>46119</v>
      </c>
      <c r="L4" s="3"/>
    </row>
    <row r="5" spans="1:12" ht="20.100000000000001" customHeight="1" x14ac:dyDescent="0.4">
      <c r="A5" s="3" t="s">
        <v>163</v>
      </c>
      <c r="B5" s="3" t="s">
        <v>164</v>
      </c>
      <c r="C5" s="3">
        <v>67</v>
      </c>
      <c r="D5" s="3">
        <v>68</v>
      </c>
      <c r="E5" s="3">
        <v>64</v>
      </c>
      <c r="F5" s="3">
        <v>88</v>
      </c>
      <c r="G5" s="3">
        <v>71</v>
      </c>
      <c r="H5" s="3">
        <v>88</v>
      </c>
      <c r="I5" s="3">
        <f t="shared" si="0"/>
        <v>446</v>
      </c>
      <c r="J5" s="3" t="s">
        <v>162</v>
      </c>
      <c r="K5" s="2">
        <v>46201</v>
      </c>
      <c r="L5" s="3"/>
    </row>
    <row r="6" spans="1:12" ht="20.100000000000001" customHeight="1" x14ac:dyDescent="0.4">
      <c r="A6" s="3" t="s">
        <v>165</v>
      </c>
      <c r="B6" s="3" t="s">
        <v>166</v>
      </c>
      <c r="C6" s="3">
        <v>80</v>
      </c>
      <c r="D6" s="3">
        <v>82</v>
      </c>
      <c r="E6" s="3">
        <v>64</v>
      </c>
      <c r="F6" s="3">
        <v>95</v>
      </c>
      <c r="G6" s="3">
        <v>94</v>
      </c>
      <c r="H6" s="3">
        <v>78</v>
      </c>
      <c r="I6" s="3">
        <f t="shared" si="0"/>
        <v>493</v>
      </c>
      <c r="J6" s="3" t="s">
        <v>162</v>
      </c>
      <c r="K6" s="2">
        <v>46076</v>
      </c>
      <c r="L6" s="3"/>
    </row>
    <row r="7" spans="1:12" ht="20.100000000000001" customHeight="1" x14ac:dyDescent="0.4">
      <c r="A7" s="3" t="s">
        <v>167</v>
      </c>
      <c r="B7" s="3" t="s">
        <v>168</v>
      </c>
      <c r="C7" s="3">
        <v>100</v>
      </c>
      <c r="D7" s="3">
        <v>71</v>
      </c>
      <c r="E7" s="3">
        <v>83</v>
      </c>
      <c r="F7" s="3">
        <v>92</v>
      </c>
      <c r="G7" s="3">
        <v>74</v>
      </c>
      <c r="H7" s="3">
        <v>67</v>
      </c>
      <c r="I7" s="3">
        <f t="shared" si="0"/>
        <v>487</v>
      </c>
      <c r="J7" s="3" t="s">
        <v>162</v>
      </c>
      <c r="K7" s="2">
        <v>46061</v>
      </c>
      <c r="L7" s="3"/>
    </row>
    <row r="8" spans="1:12" ht="20.100000000000001" customHeight="1" x14ac:dyDescent="0.4">
      <c r="A8" s="3" t="s">
        <v>169</v>
      </c>
      <c r="B8" s="3" t="s">
        <v>170</v>
      </c>
      <c r="C8" s="3">
        <v>91</v>
      </c>
      <c r="D8" s="3">
        <v>61</v>
      </c>
      <c r="E8" s="3">
        <v>83</v>
      </c>
      <c r="F8" s="3">
        <v>95</v>
      </c>
      <c r="G8" s="3">
        <v>96</v>
      </c>
      <c r="H8" s="3">
        <v>83</v>
      </c>
      <c r="I8" s="3">
        <f t="shared" si="0"/>
        <v>509</v>
      </c>
      <c r="J8" s="3" t="s">
        <v>162</v>
      </c>
      <c r="K8" s="2">
        <v>46147</v>
      </c>
      <c r="L8" s="3"/>
    </row>
    <row r="9" spans="1:12" ht="20.100000000000001" customHeight="1" x14ac:dyDescent="0.4">
      <c r="A9" s="3" t="s">
        <v>171</v>
      </c>
      <c r="B9" s="3" t="s">
        <v>172</v>
      </c>
      <c r="C9" s="3">
        <v>99</v>
      </c>
      <c r="D9" s="3">
        <v>65</v>
      </c>
      <c r="E9" s="3">
        <v>64</v>
      </c>
      <c r="F9" s="3">
        <v>79</v>
      </c>
      <c r="G9" s="3">
        <v>85</v>
      </c>
      <c r="H9" s="3">
        <v>90</v>
      </c>
      <c r="I9" s="3">
        <f t="shared" si="0"/>
        <v>482</v>
      </c>
      <c r="J9" s="3" t="s">
        <v>162</v>
      </c>
      <c r="K9" s="2">
        <v>46139</v>
      </c>
      <c r="L9" s="3"/>
    </row>
    <row r="10" spans="1:12" ht="20.100000000000001" customHeight="1" x14ac:dyDescent="0.4">
      <c r="A10" s="3" t="s">
        <v>173</v>
      </c>
      <c r="B10" s="3" t="s">
        <v>174</v>
      </c>
      <c r="C10" s="3">
        <v>96</v>
      </c>
      <c r="D10" s="3">
        <v>64</v>
      </c>
      <c r="E10" s="3">
        <v>68</v>
      </c>
      <c r="F10" s="3">
        <v>80</v>
      </c>
      <c r="G10" s="3">
        <v>64</v>
      </c>
      <c r="H10" s="3">
        <v>88</v>
      </c>
      <c r="I10" s="3">
        <f t="shared" si="0"/>
        <v>460</v>
      </c>
      <c r="J10" s="3" t="s">
        <v>162</v>
      </c>
      <c r="K10" s="2">
        <v>46154</v>
      </c>
      <c r="L10" s="3"/>
    </row>
    <row r="11" spans="1:12" ht="20.100000000000001" customHeight="1" x14ac:dyDescent="0.4">
      <c r="A11" s="3" t="s">
        <v>175</v>
      </c>
      <c r="B11" s="3" t="s">
        <v>176</v>
      </c>
      <c r="C11" s="3">
        <v>68</v>
      </c>
      <c r="D11" s="3">
        <v>95</v>
      </c>
      <c r="E11" s="3">
        <v>100</v>
      </c>
      <c r="F11" s="3">
        <v>97</v>
      </c>
      <c r="G11" s="3">
        <v>71</v>
      </c>
      <c r="H11" s="3">
        <v>68</v>
      </c>
      <c r="I11" s="3">
        <f t="shared" si="0"/>
        <v>499</v>
      </c>
      <c r="J11" s="3" t="s">
        <v>162</v>
      </c>
      <c r="K11" s="2">
        <v>46049</v>
      </c>
      <c r="L11" s="3"/>
    </row>
    <row r="12" spans="1:12" ht="20.100000000000001" customHeight="1" x14ac:dyDescent="0.4">
      <c r="A12" s="3" t="s">
        <v>177</v>
      </c>
      <c r="B12" s="3" t="s">
        <v>178</v>
      </c>
      <c r="C12" s="3">
        <v>67</v>
      </c>
      <c r="D12" s="3">
        <v>93</v>
      </c>
      <c r="E12" s="3">
        <v>69</v>
      </c>
      <c r="F12" s="3">
        <v>79</v>
      </c>
      <c r="G12" s="3">
        <v>70</v>
      </c>
      <c r="H12" s="3">
        <v>70</v>
      </c>
      <c r="I12" s="3">
        <f t="shared" si="0"/>
        <v>448</v>
      </c>
      <c r="J12" s="3" t="s">
        <v>162</v>
      </c>
      <c r="K12" s="2">
        <v>46181</v>
      </c>
      <c r="L12" s="3"/>
    </row>
    <row r="13" spans="1:12" ht="20.100000000000001" customHeight="1" x14ac:dyDescent="0.4">
      <c r="A13" s="3" t="s">
        <v>179</v>
      </c>
      <c r="B13" s="3" t="s">
        <v>180</v>
      </c>
      <c r="C13" s="3">
        <v>82</v>
      </c>
      <c r="D13" s="3">
        <v>93</v>
      </c>
      <c r="E13" s="3">
        <v>78</v>
      </c>
      <c r="F13" s="3">
        <v>65</v>
      </c>
      <c r="G13" s="3">
        <v>76</v>
      </c>
      <c r="H13" s="3">
        <v>72</v>
      </c>
      <c r="I13" s="3">
        <f t="shared" si="0"/>
        <v>466</v>
      </c>
      <c r="J13" s="3" t="s">
        <v>162</v>
      </c>
      <c r="K13" s="2">
        <v>46086</v>
      </c>
      <c r="L13" s="3"/>
    </row>
  </sheetData>
  <mergeCells count="1">
    <mergeCell ref="A1:L1"/>
  </mergeCells>
  <phoneticPr fontId="4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7"/>
  <sheetViews>
    <sheetView workbookViewId="0">
      <selection activeCell="E5" sqref="E5"/>
    </sheetView>
  </sheetViews>
  <sheetFormatPr defaultRowHeight="18.75" x14ac:dyDescent="0.4"/>
  <cols>
    <col min="1" max="1" width="14" customWidth="1"/>
    <col min="2" max="2" width="15.375" customWidth="1"/>
  </cols>
  <sheetData>
    <row r="2" spans="1:2" x14ac:dyDescent="0.4">
      <c r="A2" s="1" t="s">
        <v>5</v>
      </c>
      <c r="B2" s="1" t="s">
        <v>181</v>
      </c>
    </row>
    <row r="3" spans="1:2" x14ac:dyDescent="0.4">
      <c r="A3" s="3" t="s">
        <v>14</v>
      </c>
      <c r="B3" s="6">
        <v>60</v>
      </c>
    </row>
    <row r="4" spans="1:2" x14ac:dyDescent="0.4">
      <c r="A4" s="3" t="s">
        <v>35</v>
      </c>
      <c r="B4" s="6">
        <v>39</v>
      </c>
    </row>
    <row r="5" spans="1:2" x14ac:dyDescent="0.4">
      <c r="A5" s="3" t="s">
        <v>11</v>
      </c>
      <c r="B5" s="6">
        <v>59</v>
      </c>
    </row>
    <row r="6" spans="1:2" x14ac:dyDescent="0.4">
      <c r="A6" s="3" t="s">
        <v>18</v>
      </c>
      <c r="B6" s="6">
        <v>54</v>
      </c>
    </row>
    <row r="7" spans="1:2" x14ac:dyDescent="0.4">
      <c r="A7" s="3" t="s">
        <v>25</v>
      </c>
      <c r="B7" s="6">
        <v>25</v>
      </c>
    </row>
  </sheetData>
  <phoneticPr fontId="4"/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/>
  </sheetViews>
  <sheetFormatPr defaultRowHeight="18.75" x14ac:dyDescent="0.4"/>
  <cols>
    <col min="1" max="1" width="14" customWidth="1"/>
    <col min="2" max="2" width="20" customWidth="1"/>
    <col min="3" max="3" width="14" customWidth="1"/>
  </cols>
  <sheetData>
    <row r="1" spans="1:3" x14ac:dyDescent="0.4">
      <c r="A1" s="22" t="s">
        <v>182</v>
      </c>
      <c r="B1" s="22" t="s">
        <v>183</v>
      </c>
      <c r="C1" s="22" t="s">
        <v>184</v>
      </c>
    </row>
    <row r="2" spans="1:3" x14ac:dyDescent="0.4">
      <c r="A2" s="3" t="s">
        <v>185</v>
      </c>
      <c r="B2" s="3" t="s">
        <v>186</v>
      </c>
      <c r="C2" s="4">
        <v>395</v>
      </c>
    </row>
    <row r="3" spans="1:3" x14ac:dyDescent="0.4">
      <c r="A3" s="3" t="s">
        <v>187</v>
      </c>
      <c r="B3" s="3" t="s">
        <v>188</v>
      </c>
      <c r="C3" s="4">
        <v>365</v>
      </c>
    </row>
    <row r="4" spans="1:3" x14ac:dyDescent="0.4">
      <c r="A4" s="3" t="s">
        <v>189</v>
      </c>
      <c r="B4" s="3" t="s">
        <v>190</v>
      </c>
      <c r="C4" s="4">
        <v>1328</v>
      </c>
    </row>
    <row r="5" spans="1:3" x14ac:dyDescent="0.4">
      <c r="A5" s="3" t="s">
        <v>191</v>
      </c>
      <c r="B5" s="3" t="s">
        <v>192</v>
      </c>
      <c r="C5" s="4">
        <v>1775</v>
      </c>
    </row>
    <row r="6" spans="1:3" x14ac:dyDescent="0.4">
      <c r="A6" s="3" t="s">
        <v>193</v>
      </c>
      <c r="B6" s="3" t="s">
        <v>194</v>
      </c>
      <c r="C6" s="4">
        <v>1740</v>
      </c>
    </row>
    <row r="7" spans="1:3" x14ac:dyDescent="0.4">
      <c r="A7" s="3" t="s">
        <v>195</v>
      </c>
      <c r="B7" s="3" t="s">
        <v>196</v>
      </c>
      <c r="C7" s="4">
        <v>143</v>
      </c>
    </row>
    <row r="8" spans="1:3" x14ac:dyDescent="0.4">
      <c r="A8" s="3" t="s">
        <v>197</v>
      </c>
      <c r="B8" s="3" t="s">
        <v>198</v>
      </c>
      <c r="C8" s="4">
        <v>1383</v>
      </c>
    </row>
    <row r="9" spans="1:3" x14ac:dyDescent="0.4">
      <c r="A9" s="3" t="s">
        <v>199</v>
      </c>
      <c r="B9" s="3" t="s">
        <v>200</v>
      </c>
      <c r="C9" s="4">
        <v>1221</v>
      </c>
    </row>
    <row r="10" spans="1:3" x14ac:dyDescent="0.4">
      <c r="A10" s="3" t="s">
        <v>201</v>
      </c>
      <c r="B10" s="3" t="s">
        <v>202</v>
      </c>
      <c r="C10" s="4">
        <v>1358</v>
      </c>
    </row>
    <row r="11" spans="1:3" x14ac:dyDescent="0.4">
      <c r="A11" s="3" t="s">
        <v>203</v>
      </c>
      <c r="B11" s="3" t="s">
        <v>204</v>
      </c>
      <c r="C11" s="4">
        <v>1870</v>
      </c>
    </row>
    <row r="12" spans="1:3" x14ac:dyDescent="0.4">
      <c r="A12" s="3" t="s">
        <v>205</v>
      </c>
      <c r="B12" s="3" t="s">
        <v>206</v>
      </c>
      <c r="C12" s="4">
        <v>1364</v>
      </c>
    </row>
    <row r="13" spans="1:3" x14ac:dyDescent="0.4">
      <c r="A13" s="3" t="s">
        <v>207</v>
      </c>
      <c r="B13" s="3" t="s">
        <v>208</v>
      </c>
      <c r="C13" s="4">
        <v>551</v>
      </c>
    </row>
    <row r="14" spans="1:3" x14ac:dyDescent="0.4">
      <c r="A14" s="3" t="s">
        <v>209</v>
      </c>
      <c r="B14" s="3" t="s">
        <v>210</v>
      </c>
      <c r="C14" s="4">
        <v>978</v>
      </c>
    </row>
    <row r="15" spans="1:3" x14ac:dyDescent="0.4">
      <c r="A15" s="3" t="s">
        <v>211</v>
      </c>
      <c r="B15" s="3" t="s">
        <v>212</v>
      </c>
      <c r="C15" s="4">
        <v>172</v>
      </c>
    </row>
    <row r="16" spans="1:3" x14ac:dyDescent="0.4">
      <c r="A16" s="3" t="s">
        <v>213</v>
      </c>
      <c r="B16" s="3" t="s">
        <v>214</v>
      </c>
      <c r="C16" s="4">
        <v>901</v>
      </c>
    </row>
    <row r="17" spans="1:3" x14ac:dyDescent="0.4">
      <c r="A17" s="3" t="s">
        <v>215</v>
      </c>
      <c r="B17" s="3" t="s">
        <v>216</v>
      </c>
      <c r="C17" s="4">
        <v>467</v>
      </c>
    </row>
    <row r="18" spans="1:3" x14ac:dyDescent="0.4">
      <c r="A18" s="3" t="s">
        <v>217</v>
      </c>
      <c r="B18" s="3" t="s">
        <v>218</v>
      </c>
      <c r="C18" s="4">
        <v>344</v>
      </c>
    </row>
    <row r="19" spans="1:3" x14ac:dyDescent="0.4">
      <c r="A19" s="3" t="s">
        <v>219</v>
      </c>
      <c r="B19" s="3" t="s">
        <v>220</v>
      </c>
      <c r="C19" s="4">
        <v>703</v>
      </c>
    </row>
    <row r="20" spans="1:3" x14ac:dyDescent="0.4">
      <c r="A20" s="3" t="s">
        <v>221</v>
      </c>
      <c r="B20" s="3" t="s">
        <v>222</v>
      </c>
      <c r="C20" s="4">
        <v>317</v>
      </c>
    </row>
    <row r="21" spans="1:3" x14ac:dyDescent="0.4">
      <c r="A21" s="3" t="s">
        <v>223</v>
      </c>
      <c r="B21" s="3" t="s">
        <v>224</v>
      </c>
      <c r="C21" s="4">
        <v>1200</v>
      </c>
    </row>
  </sheetData>
  <phoneticPr fontId="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製造受注一覧</vt:lpstr>
      <vt:lpstr>工場月次実績</vt:lpstr>
      <vt:lpstr>技能査定結果</vt:lpstr>
      <vt:lpstr>ライン別集計</vt:lpstr>
      <vt:lpstr>部品在庫参照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cp:lastPrinted>2026-07-05T02:33:00Z</cp:lastPrinted>
  <dcterms:created xsi:type="dcterms:W3CDTF">2026-06-25T02:33:46Z</dcterms:created>
  <dcterms:modified xsi:type="dcterms:W3CDTF">2026-07-06T07:45:04Z</dcterms:modified>
</cp:coreProperties>
</file>