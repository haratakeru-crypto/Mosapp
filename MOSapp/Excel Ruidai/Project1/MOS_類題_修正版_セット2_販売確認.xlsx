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1\"/>
    </mc:Choice>
  </mc:AlternateContent>
  <xr:revisionPtr revIDLastSave="0" documentId="13_ncr:1_{191ED934-0F9E-44CC-9CFD-0E0EB7FE25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販売確認" sheetId="1" r:id="rId1"/>
    <sheet name="係員台帳" sheetId="2" r:id="rId2"/>
    <sheet name="週次売上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9" i="3"/>
  <c r="H10" i="3"/>
  <c r="H11" i="3"/>
  <c r="H12" i="3"/>
  <c r="H13" i="3"/>
  <c r="H14" i="3"/>
  <c r="H15" i="3"/>
  <c r="H4" i="3"/>
</calcChain>
</file>

<file path=xl/sharedStrings.xml><?xml version="1.0" encoding="utf-8"?>
<sst xmlns="http://schemas.openxmlformats.org/spreadsheetml/2006/main" count="228" uniqueCount="138">
  <si>
    <t>販売確認一覧</t>
  </si>
  <si>
    <t>No</t>
  </si>
  <si>
    <t>案件番号</t>
  </si>
  <si>
    <t>氏名</t>
  </si>
  <si>
    <t>店舗</t>
  </si>
  <si>
    <t>商品群</t>
  </si>
  <si>
    <t>売上1</t>
  </si>
  <si>
    <t>売上2</t>
  </si>
  <si>
    <t>売上3</t>
  </si>
  <si>
    <t>売上4</t>
  </si>
  <si>
    <t>売上5</t>
  </si>
  <si>
    <t>総売上</t>
  </si>
  <si>
    <t>A4101</t>
  </si>
  <si>
    <t>成瀬 彩音</t>
  </si>
  <si>
    <t>千葉</t>
  </si>
  <si>
    <t>南部</t>
  </si>
  <si>
    <t>A4102</t>
  </si>
  <si>
    <t>浅野 翔</t>
  </si>
  <si>
    <t>大宮</t>
  </si>
  <si>
    <t>北部</t>
  </si>
  <si>
    <t>A4103</t>
  </si>
  <si>
    <t>永瀬 奏</t>
  </si>
  <si>
    <t>立川</t>
  </si>
  <si>
    <t>中央</t>
  </si>
  <si>
    <t>A4104</t>
  </si>
  <si>
    <t>黒沢 陸</t>
  </si>
  <si>
    <t>名古屋</t>
  </si>
  <si>
    <t>東部</t>
  </si>
  <si>
    <t>A4105</t>
  </si>
  <si>
    <t>石崎 蓮</t>
  </si>
  <si>
    <t>大阪</t>
  </si>
  <si>
    <t>西部</t>
  </si>
  <si>
    <t>A4106</t>
  </si>
  <si>
    <t>村井 芽衣</t>
  </si>
  <si>
    <t>新宿</t>
  </si>
  <si>
    <t>A4107</t>
  </si>
  <si>
    <t>久保 凛</t>
  </si>
  <si>
    <t>池袋</t>
  </si>
  <si>
    <t>A4108</t>
  </si>
  <si>
    <t>柴田 楓</t>
  </si>
  <si>
    <t>横浜</t>
  </si>
  <si>
    <t>A4109</t>
  </si>
  <si>
    <t>西山 咲良</t>
  </si>
  <si>
    <t>A4110</t>
  </si>
  <si>
    <t>浜崎 悠真</t>
  </si>
  <si>
    <t>A4111</t>
  </si>
  <si>
    <t>真鍋 七海</t>
  </si>
  <si>
    <t>A4112</t>
  </si>
  <si>
    <t>若杉 晴</t>
  </si>
  <si>
    <t>A4113</t>
  </si>
  <si>
    <t>杉浦 琴音</t>
  </si>
  <si>
    <t>A4114</t>
  </si>
  <si>
    <t>片岡 結衣</t>
  </si>
  <si>
    <t>A4115</t>
  </si>
  <si>
    <t>栗原 颯太</t>
  </si>
  <si>
    <t>A4116</t>
  </si>
  <si>
    <t>三谷 美月</t>
  </si>
  <si>
    <t>A4117</t>
  </si>
  <si>
    <t>舟木 拓海</t>
  </si>
  <si>
    <t>A4118</t>
  </si>
  <si>
    <t>吉岡 蒼</t>
  </si>
  <si>
    <t>A4119</t>
  </si>
  <si>
    <t>塚本 陽菜</t>
  </si>
  <si>
    <t>A4120</t>
  </si>
  <si>
    <t>森下 大和</t>
  </si>
  <si>
    <t>A4121</t>
  </si>
  <si>
    <t>本間 光</t>
  </si>
  <si>
    <t>係員台帳</t>
  </si>
  <si>
    <t>社員ID</t>
  </si>
  <si>
    <t>所属</t>
  </si>
  <si>
    <t>役割</t>
  </si>
  <si>
    <t>勤務区分</t>
  </si>
  <si>
    <t>等級</t>
  </si>
  <si>
    <t>内線</t>
  </si>
  <si>
    <t>Mail</t>
  </si>
  <si>
    <t>S22101</t>
  </si>
  <si>
    <t>総務課</t>
  </si>
  <si>
    <t>補助</t>
  </si>
  <si>
    <t>終日</t>
  </si>
  <si>
    <t>u201@sample.local</t>
  </si>
  <si>
    <t>S22102</t>
  </si>
  <si>
    <t>管理課</t>
  </si>
  <si>
    <t>案内</t>
  </si>
  <si>
    <t>午前</t>
  </si>
  <si>
    <t>u202@sample.local</t>
  </si>
  <si>
    <t>S22103</t>
  </si>
  <si>
    <t>営業一課</t>
  </si>
  <si>
    <t>記録</t>
  </si>
  <si>
    <t>午後</t>
  </si>
  <si>
    <t>u203@sample.local</t>
  </si>
  <si>
    <t>S22104</t>
  </si>
  <si>
    <t>営業二課</t>
  </si>
  <si>
    <t>会計</t>
  </si>
  <si>
    <t>u204@sample.local</t>
  </si>
  <si>
    <t>S22105</t>
  </si>
  <si>
    <t>u205@sample.local</t>
  </si>
  <si>
    <t>S22106</t>
  </si>
  <si>
    <t>u206@sample.local</t>
  </si>
  <si>
    <t>S22107</t>
  </si>
  <si>
    <t>u207@sample.local</t>
  </si>
  <si>
    <t>S22108</t>
  </si>
  <si>
    <t>u208@sample.local</t>
  </si>
  <si>
    <t>S22109</t>
  </si>
  <si>
    <t>u209@sample.local</t>
  </si>
  <si>
    <t>S22110</t>
  </si>
  <si>
    <t>u210@sample.local</t>
  </si>
  <si>
    <t>S22111</t>
  </si>
  <si>
    <t>u211@sample.local</t>
  </si>
  <si>
    <t>S22112</t>
  </si>
  <si>
    <t>u212@sample.local</t>
  </si>
  <si>
    <t>S22113</t>
  </si>
  <si>
    <t>u213@sample.local</t>
  </si>
  <si>
    <t>S22114</t>
  </si>
  <si>
    <t>u214@sample.local</t>
  </si>
  <si>
    <t>S22115</t>
  </si>
  <si>
    <t>高梨 悠斗</t>
  </si>
  <si>
    <t>u215@sample.local</t>
  </si>
  <si>
    <t>週次売上一覧</t>
  </si>
  <si>
    <t>カテゴリ</t>
  </si>
  <si>
    <t>担当者</t>
  </si>
  <si>
    <t>月</t>
  </si>
  <si>
    <t>火</t>
  </si>
  <si>
    <t>水</t>
  </si>
  <si>
    <t>木</t>
  </si>
  <si>
    <t>金</t>
  </si>
  <si>
    <t>区画C</t>
  </si>
  <si>
    <t>区画D</t>
  </si>
  <si>
    <t>区画E</t>
  </si>
  <si>
    <t>区画F</t>
  </si>
  <si>
    <t>区画G</t>
  </si>
  <si>
    <t>区画H</t>
  </si>
  <si>
    <t>区画I</t>
  </si>
  <si>
    <t>区画J</t>
  </si>
  <si>
    <t>区画K</t>
  </si>
  <si>
    <t>区画L</t>
  </si>
  <si>
    <t>区画M</t>
  </si>
  <si>
    <t>区画N</t>
  </si>
  <si>
    <t>合計</t>
    <rPh sb="0" eb="2">
      <t>ゴウケイ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</si>
</sst>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scheme val="minor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38" fontId="6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/>
    </xf>
    <xf numFmtId="38" fontId="0" fillId="0" borderId="0" xfId="1" applyFont="1" applyAlignment="1"/>
    <xf numFmtId="0" fontId="0" fillId="0" borderId="0" xfId="0" applyAlignment="1">
      <alignment horizontal="center"/>
    </xf>
    <xf numFmtId="38" fontId="0" fillId="0" borderId="0" xfId="1" applyFont="1" applyBorder="1" applyAlignme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桁区切り" xfId="1" builtinId="6"/>
    <cellStyle name="標準" xfId="0" builtinId="0"/>
  </cellStyles>
  <dxfs count="3">
    <dxf>
      <font>
        <b val="0"/>
        <strike val="0"/>
        <outline val="0"/>
        <shadow val="0"/>
        <u val="none"/>
        <vertAlign val="baseline"/>
        <sz val="11"/>
        <color theme="0"/>
        <name val="ＭＳ Ｐゴシック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inFixed_2" displayName="TblMainFixed_2" ref="A3:K24" headerRowDxfId="2">
  <autoFilter ref="A3:K24" xr:uid="{00000000-0009-0000-0100-000001000000}"/>
  <tableColumns count="11">
    <tableColumn id="1" xr3:uid="{00000000-0010-0000-0000-000001000000}" name="No"/>
    <tableColumn id="2" xr3:uid="{00000000-0010-0000-0000-000002000000}" name="案件番号"/>
    <tableColumn id="3" xr3:uid="{00000000-0010-0000-0000-000003000000}" name="氏名"/>
    <tableColumn id="4" xr3:uid="{00000000-0010-0000-0000-000004000000}" name="店舗"/>
    <tableColumn id="5" xr3:uid="{00000000-0010-0000-0000-000005000000}" name="商品群"/>
    <tableColumn id="6" xr3:uid="{00000000-0010-0000-0000-000006000000}" name="売上1"/>
    <tableColumn id="7" xr3:uid="{00000000-0010-0000-0000-000007000000}" name="売上2"/>
    <tableColumn id="8" xr3:uid="{00000000-0010-0000-0000-000008000000}" name="売上3"/>
    <tableColumn id="9" xr3:uid="{00000000-0010-0000-0000-000009000000}" name="売上4"/>
    <tableColumn id="10" xr3:uid="{00000000-0010-0000-0000-00000A000000}" name="売上5"/>
    <tableColumn id="11" xr3:uid="{00000000-0010-0000-0000-00000B000000}" name="総売上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ilterFixed_2" displayName="TblFilterFixed_2" ref="A3:H18" headerRowDxfId="1">
  <autoFilter ref="A3:H18" xr:uid="{00000000-0009-0000-0100-000002000000}"/>
  <tableColumns count="8">
    <tableColumn id="1" xr3:uid="{00000000-0010-0000-0100-000001000000}" name="社員ID"/>
    <tableColumn id="2" xr3:uid="{00000000-0010-0000-0100-000002000000}" name="所属"/>
    <tableColumn id="3" xr3:uid="{00000000-0010-0000-0100-000003000000}" name="役割"/>
    <tableColumn id="4" xr3:uid="{00000000-0010-0000-0100-000004000000}" name="勤務区分"/>
    <tableColumn id="5" xr3:uid="{00000000-0010-0000-0100-000005000000}" name="氏名"/>
    <tableColumn id="6" xr3:uid="{00000000-0010-0000-0100-000006000000}" name="等級"/>
    <tableColumn id="7" xr3:uid="{00000000-0010-0000-0100-000007000000}" name="内線"/>
    <tableColumn id="8" xr3:uid="{00000000-0010-0000-0100-000008000000}" name="Mail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angeFixed_2" displayName="TblRangeFixed_2" ref="A3:G15" headerRowDxfId="0">
  <autoFilter ref="A3:G15" xr:uid="{00000000-0009-0000-0100-000003000000}"/>
  <tableColumns count="7">
    <tableColumn id="1" xr3:uid="{00000000-0010-0000-0200-000001000000}" name="カテゴリ"/>
    <tableColumn id="2" xr3:uid="{00000000-0010-0000-0200-000002000000}" name="担当者"/>
    <tableColumn id="3" xr3:uid="{00000000-0010-0000-0200-000003000000}" name="月" dataCellStyle="桁区切り"/>
    <tableColumn id="4" xr3:uid="{00000000-0010-0000-0200-000004000000}" name="火" dataCellStyle="桁区切り"/>
    <tableColumn id="5" xr3:uid="{00000000-0010-0000-0200-000005000000}" name="水" dataCellStyle="桁区切り"/>
    <tableColumn id="6" xr3:uid="{00000000-0010-0000-0200-000006000000}" name="木" dataCellStyle="桁区切り"/>
    <tableColumn id="7" xr3:uid="{00000000-0010-0000-0200-000007000000}" name="金" dataCellStyle="桁区切り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J12" sqref="J12"/>
    </sheetView>
  </sheetViews>
  <sheetFormatPr defaultRowHeight="18.75"/>
  <cols>
    <col min="1" max="1" width="8" customWidth="1"/>
    <col min="2" max="2" width="13" customWidth="1"/>
    <col min="3" max="3" width="14" customWidth="1"/>
    <col min="4" max="4" width="10" customWidth="1"/>
    <col min="5" max="11" width="12" customWidth="1"/>
  </cols>
  <sheetData>
    <row r="1" spans="1:11" ht="24" customHeight="1">
      <c r="A1" s="2" t="s">
        <v>0</v>
      </c>
    </row>
    <row r="2" spans="1:11" ht="18" customHeight="1"/>
    <row r="3" spans="1:11" s="4" customForma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>
      <c r="A4" s="1">
        <v>1</v>
      </c>
      <c r="B4" s="1" t="s">
        <v>12</v>
      </c>
      <c r="C4" s="1" t="s">
        <v>13</v>
      </c>
      <c r="D4" s="1" t="s">
        <v>14</v>
      </c>
      <c r="E4" s="1" t="s">
        <v>15</v>
      </c>
      <c r="F4" s="1">
        <v>15</v>
      </c>
      <c r="G4" s="1">
        <v>20</v>
      </c>
      <c r="H4" s="1">
        <v>25</v>
      </c>
      <c r="I4" s="1">
        <v>30</v>
      </c>
      <c r="J4" s="1">
        <v>35</v>
      </c>
      <c r="K4" s="1">
        <v>125</v>
      </c>
    </row>
    <row r="5" spans="1:11">
      <c r="A5" s="1">
        <v>2</v>
      </c>
      <c r="B5" s="1" t="s">
        <v>16</v>
      </c>
      <c r="C5" s="1" t="s">
        <v>17</v>
      </c>
      <c r="D5" s="1" t="s">
        <v>18</v>
      </c>
      <c r="E5" s="1" t="s">
        <v>19</v>
      </c>
      <c r="F5" s="1">
        <v>18</v>
      </c>
      <c r="G5" s="1">
        <v>23</v>
      </c>
      <c r="H5" s="1">
        <v>28</v>
      </c>
      <c r="I5" s="1">
        <v>33</v>
      </c>
      <c r="J5" s="1">
        <v>38</v>
      </c>
      <c r="K5" s="1">
        <v>140</v>
      </c>
    </row>
    <row r="6" spans="1:11">
      <c r="A6" s="1">
        <v>3</v>
      </c>
      <c r="B6" s="1" t="s">
        <v>20</v>
      </c>
      <c r="C6" s="1" t="s">
        <v>21</v>
      </c>
      <c r="D6" s="1" t="s">
        <v>22</v>
      </c>
      <c r="E6" s="1" t="s">
        <v>23</v>
      </c>
      <c r="F6" s="1">
        <v>21</v>
      </c>
      <c r="G6" s="1">
        <v>26</v>
      </c>
      <c r="H6" s="1">
        <v>31</v>
      </c>
      <c r="I6" s="1">
        <v>36</v>
      </c>
      <c r="J6" s="1">
        <v>41</v>
      </c>
      <c r="K6" s="1">
        <v>155</v>
      </c>
    </row>
    <row r="7" spans="1:11">
      <c r="A7" s="1">
        <v>4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24</v>
      </c>
      <c r="G7" s="1">
        <v>29</v>
      </c>
      <c r="H7" s="1">
        <v>34</v>
      </c>
      <c r="I7" s="1">
        <v>39</v>
      </c>
      <c r="J7" s="1">
        <v>44</v>
      </c>
      <c r="K7" s="1">
        <v>170</v>
      </c>
    </row>
    <row r="8" spans="1:11">
      <c r="A8" s="1">
        <v>5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27</v>
      </c>
      <c r="G8" s="1">
        <v>32</v>
      </c>
      <c r="H8" s="1">
        <v>37</v>
      </c>
      <c r="I8" s="1">
        <v>42</v>
      </c>
      <c r="J8" s="1">
        <v>10</v>
      </c>
      <c r="K8" s="1">
        <v>148</v>
      </c>
    </row>
    <row r="9" spans="1:11">
      <c r="A9" s="1">
        <v>6</v>
      </c>
      <c r="B9" s="1" t="s">
        <v>32</v>
      </c>
      <c r="C9" s="1" t="s">
        <v>33</v>
      </c>
      <c r="D9" s="1" t="s">
        <v>34</v>
      </c>
      <c r="E9" s="1" t="s">
        <v>15</v>
      </c>
      <c r="F9" s="1">
        <v>30</v>
      </c>
      <c r="G9" s="1">
        <v>35</v>
      </c>
      <c r="H9" s="1">
        <v>40</v>
      </c>
      <c r="I9" s="1">
        <v>45</v>
      </c>
      <c r="J9" s="1">
        <v>13</v>
      </c>
      <c r="K9" s="1">
        <v>163</v>
      </c>
    </row>
    <row r="10" spans="1:11">
      <c r="A10" s="1">
        <v>7</v>
      </c>
      <c r="B10" s="1" t="s">
        <v>35</v>
      </c>
      <c r="C10" s="1" t="s">
        <v>36</v>
      </c>
      <c r="D10" s="1" t="s">
        <v>37</v>
      </c>
      <c r="E10" s="1" t="s">
        <v>19</v>
      </c>
      <c r="F10" s="1">
        <v>33</v>
      </c>
      <c r="G10" s="1">
        <v>38</v>
      </c>
      <c r="H10" s="1">
        <v>43</v>
      </c>
      <c r="I10" s="1">
        <v>11</v>
      </c>
      <c r="J10" s="1">
        <v>16</v>
      </c>
      <c r="K10" s="1">
        <v>141</v>
      </c>
    </row>
    <row r="11" spans="1:11">
      <c r="A11" s="1">
        <v>8</v>
      </c>
      <c r="B11" s="1" t="s">
        <v>38</v>
      </c>
      <c r="C11" s="1" t="s">
        <v>39</v>
      </c>
      <c r="D11" s="1" t="s">
        <v>40</v>
      </c>
      <c r="E11" s="1" t="s">
        <v>23</v>
      </c>
      <c r="F11" s="1">
        <v>36</v>
      </c>
      <c r="G11" s="1">
        <v>41</v>
      </c>
      <c r="H11" s="1">
        <v>46</v>
      </c>
      <c r="I11" s="1">
        <v>14</v>
      </c>
      <c r="J11" s="1">
        <v>19</v>
      </c>
      <c r="K11" s="1">
        <v>156</v>
      </c>
    </row>
    <row r="12" spans="1:11">
      <c r="A12" s="1">
        <v>9</v>
      </c>
      <c r="B12" s="1" t="s">
        <v>41</v>
      </c>
      <c r="C12" s="1" t="s">
        <v>42</v>
      </c>
      <c r="D12" s="1" t="s">
        <v>14</v>
      </c>
      <c r="E12" s="1" t="s">
        <v>27</v>
      </c>
      <c r="F12" s="1">
        <v>39</v>
      </c>
      <c r="G12" s="1">
        <v>44</v>
      </c>
      <c r="H12" s="1">
        <v>12</v>
      </c>
      <c r="I12" s="1">
        <v>17</v>
      </c>
      <c r="J12" s="1">
        <v>22</v>
      </c>
      <c r="K12" s="1">
        <v>134</v>
      </c>
    </row>
    <row r="13" spans="1:11">
      <c r="A13" s="1">
        <v>10</v>
      </c>
      <c r="B13" s="1" t="s">
        <v>43</v>
      </c>
      <c r="C13" s="1" t="s">
        <v>44</v>
      </c>
      <c r="D13" s="1" t="s">
        <v>18</v>
      </c>
      <c r="E13" s="1" t="s">
        <v>31</v>
      </c>
      <c r="F13" s="1">
        <v>42</v>
      </c>
      <c r="G13" s="1">
        <v>10</v>
      </c>
      <c r="H13" s="1">
        <v>15</v>
      </c>
      <c r="I13" s="1">
        <v>20</v>
      </c>
      <c r="J13" s="1">
        <v>25</v>
      </c>
      <c r="K13" s="1">
        <v>112</v>
      </c>
    </row>
    <row r="14" spans="1:11">
      <c r="A14" s="1">
        <v>11</v>
      </c>
      <c r="B14" s="1" t="s">
        <v>45</v>
      </c>
      <c r="C14" s="1" t="s">
        <v>46</v>
      </c>
      <c r="D14" s="1" t="s">
        <v>22</v>
      </c>
      <c r="E14" s="1" t="s">
        <v>15</v>
      </c>
      <c r="F14" s="1">
        <v>45</v>
      </c>
      <c r="G14" s="1">
        <v>13</v>
      </c>
      <c r="H14" s="1">
        <v>18</v>
      </c>
      <c r="I14" s="1">
        <v>23</v>
      </c>
      <c r="J14" s="1">
        <v>28</v>
      </c>
      <c r="K14" s="1">
        <v>127</v>
      </c>
    </row>
    <row r="15" spans="1:11">
      <c r="A15" s="1">
        <v>12</v>
      </c>
      <c r="B15" s="1" t="s">
        <v>47</v>
      </c>
      <c r="C15" s="1" t="s">
        <v>48</v>
      </c>
      <c r="D15" s="1" t="s">
        <v>26</v>
      </c>
      <c r="E15" s="1" t="s">
        <v>19</v>
      </c>
      <c r="F15" s="1">
        <v>11</v>
      </c>
      <c r="G15" s="1">
        <v>16</v>
      </c>
      <c r="H15" s="1">
        <v>21</v>
      </c>
      <c r="I15" s="1">
        <v>26</v>
      </c>
      <c r="J15" s="1">
        <v>31</v>
      </c>
      <c r="K15" s="1">
        <v>105</v>
      </c>
    </row>
    <row r="16" spans="1:11">
      <c r="A16" s="1">
        <v>13</v>
      </c>
      <c r="B16" s="1" t="s">
        <v>49</v>
      </c>
      <c r="C16" s="1" t="s">
        <v>50</v>
      </c>
      <c r="D16" s="1" t="s">
        <v>30</v>
      </c>
      <c r="E16" s="1" t="s">
        <v>23</v>
      </c>
      <c r="F16" s="1">
        <v>14</v>
      </c>
      <c r="G16" s="1">
        <v>19</v>
      </c>
      <c r="H16" s="1">
        <v>24</v>
      </c>
      <c r="I16" s="1">
        <v>29</v>
      </c>
      <c r="J16" s="1">
        <v>34</v>
      </c>
      <c r="K16" s="1">
        <v>120</v>
      </c>
    </row>
    <row r="17" spans="1:11">
      <c r="A17" s="1">
        <v>14</v>
      </c>
      <c r="B17" s="1" t="s">
        <v>51</v>
      </c>
      <c r="C17" s="1" t="s">
        <v>52</v>
      </c>
      <c r="D17" s="1" t="s">
        <v>34</v>
      </c>
      <c r="E17" s="1" t="s">
        <v>27</v>
      </c>
      <c r="F17" s="1">
        <v>17</v>
      </c>
      <c r="G17" s="1">
        <v>22</v>
      </c>
      <c r="H17" s="1">
        <v>27</v>
      </c>
      <c r="I17" s="1">
        <v>32</v>
      </c>
      <c r="J17" s="1">
        <v>37</v>
      </c>
      <c r="K17" s="1">
        <v>135</v>
      </c>
    </row>
    <row r="18" spans="1:11">
      <c r="A18" s="1">
        <v>15</v>
      </c>
      <c r="B18" s="1" t="s">
        <v>53</v>
      </c>
      <c r="C18" s="1" t="s">
        <v>54</v>
      </c>
      <c r="D18" s="1" t="s">
        <v>37</v>
      </c>
      <c r="E18" s="1" t="s">
        <v>31</v>
      </c>
      <c r="F18" s="1">
        <v>20</v>
      </c>
      <c r="G18" s="1">
        <v>25</v>
      </c>
      <c r="H18" s="1">
        <v>30</v>
      </c>
      <c r="I18" s="1">
        <v>35</v>
      </c>
      <c r="J18" s="1">
        <v>40</v>
      </c>
      <c r="K18" s="1">
        <v>150</v>
      </c>
    </row>
    <row r="19" spans="1:11">
      <c r="A19" s="1">
        <v>16</v>
      </c>
      <c r="B19" s="1" t="s">
        <v>55</v>
      </c>
      <c r="C19" s="1" t="s">
        <v>56</v>
      </c>
      <c r="D19" s="1" t="s">
        <v>40</v>
      </c>
      <c r="E19" s="1" t="s">
        <v>15</v>
      </c>
      <c r="F19" s="1">
        <v>23</v>
      </c>
      <c r="G19" s="1">
        <v>28</v>
      </c>
      <c r="H19" s="1">
        <v>33</v>
      </c>
      <c r="I19" s="1">
        <v>38</v>
      </c>
      <c r="J19" s="1">
        <v>43</v>
      </c>
      <c r="K19" s="1">
        <v>165</v>
      </c>
    </row>
    <row r="20" spans="1:11">
      <c r="A20" s="1">
        <v>17</v>
      </c>
      <c r="B20" s="1" t="s">
        <v>57</v>
      </c>
      <c r="C20" s="1" t="s">
        <v>58</v>
      </c>
      <c r="D20" s="1" t="s">
        <v>14</v>
      </c>
      <c r="E20" s="1" t="s">
        <v>19</v>
      </c>
      <c r="F20" s="1">
        <v>26</v>
      </c>
      <c r="G20" s="1">
        <v>31</v>
      </c>
      <c r="H20" s="1">
        <v>36</v>
      </c>
      <c r="I20" s="1">
        <v>41</v>
      </c>
      <c r="J20" s="1">
        <v>46</v>
      </c>
      <c r="K20" s="1">
        <v>180</v>
      </c>
    </row>
    <row r="21" spans="1:11">
      <c r="A21" s="1">
        <v>18</v>
      </c>
      <c r="B21" s="1" t="s">
        <v>59</v>
      </c>
      <c r="C21" s="1" t="s">
        <v>60</v>
      </c>
      <c r="D21" s="1" t="s">
        <v>18</v>
      </c>
      <c r="E21" s="1" t="s">
        <v>23</v>
      </c>
      <c r="F21" s="1">
        <v>29</v>
      </c>
      <c r="G21" s="1">
        <v>34</v>
      </c>
      <c r="H21" s="1">
        <v>39</v>
      </c>
      <c r="I21" s="1">
        <v>44</v>
      </c>
      <c r="J21" s="1">
        <v>12</v>
      </c>
      <c r="K21" s="1">
        <v>158</v>
      </c>
    </row>
    <row r="22" spans="1:11">
      <c r="A22" s="1">
        <v>19</v>
      </c>
      <c r="B22" s="1" t="s">
        <v>61</v>
      </c>
      <c r="C22" s="1" t="s">
        <v>62</v>
      </c>
      <c r="D22" s="1" t="s">
        <v>22</v>
      </c>
      <c r="E22" s="1" t="s">
        <v>27</v>
      </c>
      <c r="F22" s="1">
        <v>32</v>
      </c>
      <c r="G22" s="1">
        <v>37</v>
      </c>
      <c r="H22" s="1">
        <v>42</v>
      </c>
      <c r="I22" s="1">
        <v>10</v>
      </c>
      <c r="J22" s="1">
        <v>15</v>
      </c>
      <c r="K22" s="1">
        <v>136</v>
      </c>
    </row>
    <row r="23" spans="1:11">
      <c r="A23" s="1">
        <v>20</v>
      </c>
      <c r="B23" s="1" t="s">
        <v>63</v>
      </c>
      <c r="C23" s="1" t="s">
        <v>64</v>
      </c>
      <c r="D23" s="1" t="s">
        <v>26</v>
      </c>
      <c r="E23" s="1" t="s">
        <v>31</v>
      </c>
      <c r="F23" s="1">
        <v>35</v>
      </c>
      <c r="G23" s="1">
        <v>40</v>
      </c>
      <c r="H23" s="1">
        <v>45</v>
      </c>
      <c r="I23" s="1">
        <v>13</v>
      </c>
      <c r="J23" s="1">
        <v>18</v>
      </c>
      <c r="K23" s="1">
        <v>151</v>
      </c>
    </row>
    <row r="24" spans="1:11">
      <c r="A24" s="1">
        <v>21</v>
      </c>
      <c r="B24" s="1" t="s">
        <v>65</v>
      </c>
      <c r="C24" s="1" t="s">
        <v>66</v>
      </c>
      <c r="D24" s="1" t="s">
        <v>30</v>
      </c>
      <c r="E24" s="1" t="s">
        <v>15</v>
      </c>
      <c r="F24" s="1">
        <v>38</v>
      </c>
      <c r="G24" s="1">
        <v>43</v>
      </c>
      <c r="H24" s="1">
        <v>11</v>
      </c>
      <c r="I24" s="1">
        <v>16</v>
      </c>
      <c r="J24" s="1">
        <v>21</v>
      </c>
      <c r="K24" s="1">
        <v>129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D8" sqref="D8"/>
    </sheetView>
  </sheetViews>
  <sheetFormatPr defaultRowHeight="18.75"/>
  <cols>
    <col min="1" max="1" width="13.625" customWidth="1"/>
    <col min="2" max="2" width="13" customWidth="1"/>
    <col min="3" max="3" width="14" customWidth="1"/>
    <col min="4" max="4" width="14.625" customWidth="1"/>
    <col min="5" max="5" width="12" customWidth="1"/>
    <col min="6" max="7" width="10" customWidth="1"/>
    <col min="8" max="8" width="25.625" customWidth="1"/>
  </cols>
  <sheetData>
    <row r="1" spans="1:8" ht="24" customHeight="1">
      <c r="A1" s="2" t="s">
        <v>67</v>
      </c>
    </row>
    <row r="2" spans="1:8" ht="18" customHeight="1"/>
    <row r="3" spans="1:8">
      <c r="A3" s="5" t="s">
        <v>68</v>
      </c>
      <c r="B3" s="5" t="s">
        <v>69</v>
      </c>
      <c r="C3" s="5" t="s">
        <v>70</v>
      </c>
      <c r="D3" s="5" t="s">
        <v>71</v>
      </c>
      <c r="E3" s="5" t="s">
        <v>3</v>
      </c>
      <c r="F3" s="5" t="s">
        <v>72</v>
      </c>
      <c r="G3" s="5" t="s">
        <v>73</v>
      </c>
      <c r="H3" s="5" t="s">
        <v>74</v>
      </c>
    </row>
    <row r="4" spans="1:8">
      <c r="A4" s="1" t="s">
        <v>75</v>
      </c>
      <c r="B4" s="1" t="s">
        <v>76</v>
      </c>
      <c r="C4" s="1" t="s">
        <v>77</v>
      </c>
      <c r="D4" s="1" t="s">
        <v>78</v>
      </c>
      <c r="E4" s="1" t="s">
        <v>39</v>
      </c>
      <c r="F4" s="1">
        <v>2</v>
      </c>
      <c r="G4" s="1">
        <v>101</v>
      </c>
      <c r="H4" s="1" t="s">
        <v>79</v>
      </c>
    </row>
    <row r="5" spans="1:8">
      <c r="A5" s="1" t="s">
        <v>80</v>
      </c>
      <c r="B5" s="1" t="s">
        <v>81</v>
      </c>
      <c r="C5" s="1" t="s">
        <v>82</v>
      </c>
      <c r="D5" s="1" t="s">
        <v>83</v>
      </c>
      <c r="E5" s="1" t="s">
        <v>42</v>
      </c>
      <c r="F5" s="1">
        <v>3</v>
      </c>
      <c r="G5" s="1">
        <v>102</v>
      </c>
      <c r="H5" s="1" t="s">
        <v>84</v>
      </c>
    </row>
    <row r="6" spans="1:8">
      <c r="A6" s="1" t="s">
        <v>85</v>
      </c>
      <c r="B6" s="1" t="s">
        <v>86</v>
      </c>
      <c r="C6" s="1" t="s">
        <v>87</v>
      </c>
      <c r="D6" s="1" t="s">
        <v>88</v>
      </c>
      <c r="E6" s="1" t="s">
        <v>44</v>
      </c>
      <c r="F6" s="1">
        <v>4</v>
      </c>
      <c r="G6" s="1">
        <v>103</v>
      </c>
      <c r="H6" s="1" t="s">
        <v>89</v>
      </c>
    </row>
    <row r="7" spans="1:8">
      <c r="A7" s="1" t="s">
        <v>90</v>
      </c>
      <c r="B7" s="1" t="s">
        <v>91</v>
      </c>
      <c r="C7" s="1" t="s">
        <v>92</v>
      </c>
      <c r="D7" s="1" t="s">
        <v>78</v>
      </c>
      <c r="E7" s="1" t="s">
        <v>46</v>
      </c>
      <c r="F7" s="1">
        <v>5</v>
      </c>
      <c r="G7" s="1">
        <v>104</v>
      </c>
      <c r="H7" s="1" t="s">
        <v>93</v>
      </c>
    </row>
    <row r="8" spans="1:8">
      <c r="A8" s="1" t="s">
        <v>94</v>
      </c>
      <c r="B8" s="1" t="s">
        <v>76</v>
      </c>
      <c r="C8" s="1" t="s">
        <v>77</v>
      </c>
      <c r="D8" s="1" t="s">
        <v>83</v>
      </c>
      <c r="E8" s="1" t="s">
        <v>48</v>
      </c>
      <c r="F8" s="1">
        <v>6</v>
      </c>
      <c r="G8" s="1">
        <v>105</v>
      </c>
      <c r="H8" s="1" t="s">
        <v>95</v>
      </c>
    </row>
    <row r="9" spans="1:8">
      <c r="A9" s="1" t="s">
        <v>96</v>
      </c>
      <c r="B9" s="1" t="s">
        <v>81</v>
      </c>
      <c r="C9" s="1" t="s">
        <v>82</v>
      </c>
      <c r="D9" s="1" t="s">
        <v>83</v>
      </c>
      <c r="E9" s="1" t="s">
        <v>50</v>
      </c>
      <c r="F9" s="1">
        <v>1</v>
      </c>
      <c r="G9" s="1">
        <v>106</v>
      </c>
      <c r="H9" s="1" t="s">
        <v>97</v>
      </c>
    </row>
    <row r="10" spans="1:8">
      <c r="A10" s="1" t="s">
        <v>98</v>
      </c>
      <c r="B10" s="1" t="s">
        <v>86</v>
      </c>
      <c r="C10" s="1" t="s">
        <v>87</v>
      </c>
      <c r="D10" s="1" t="s">
        <v>78</v>
      </c>
      <c r="E10" s="1" t="s">
        <v>52</v>
      </c>
      <c r="F10" s="1">
        <v>2</v>
      </c>
      <c r="G10" s="1">
        <v>107</v>
      </c>
      <c r="H10" s="1" t="s">
        <v>99</v>
      </c>
    </row>
    <row r="11" spans="1:8">
      <c r="A11" s="1" t="s">
        <v>100</v>
      </c>
      <c r="B11" s="1" t="s">
        <v>91</v>
      </c>
      <c r="C11" s="1" t="s">
        <v>92</v>
      </c>
      <c r="D11" s="1" t="s">
        <v>83</v>
      </c>
      <c r="E11" s="1" t="s">
        <v>54</v>
      </c>
      <c r="F11" s="1">
        <v>3</v>
      </c>
      <c r="G11" s="1">
        <v>108</v>
      </c>
      <c r="H11" s="1" t="s">
        <v>101</v>
      </c>
    </row>
    <row r="12" spans="1:8">
      <c r="A12" s="1" t="s">
        <v>102</v>
      </c>
      <c r="B12" s="1" t="s">
        <v>76</v>
      </c>
      <c r="C12" s="1" t="s">
        <v>77</v>
      </c>
      <c r="D12" s="1" t="s">
        <v>83</v>
      </c>
      <c r="E12" s="1" t="s">
        <v>56</v>
      </c>
      <c r="F12" s="1">
        <v>4</v>
      </c>
      <c r="G12" s="1">
        <v>109</v>
      </c>
      <c r="H12" s="1" t="s">
        <v>103</v>
      </c>
    </row>
    <row r="13" spans="1:8">
      <c r="A13" s="1" t="s">
        <v>104</v>
      </c>
      <c r="B13" s="1" t="s">
        <v>81</v>
      </c>
      <c r="C13" s="1" t="s">
        <v>82</v>
      </c>
      <c r="D13" s="1" t="s">
        <v>78</v>
      </c>
      <c r="E13" s="1" t="s">
        <v>58</v>
      </c>
      <c r="F13" s="1">
        <v>5</v>
      </c>
      <c r="G13" s="1">
        <v>110</v>
      </c>
      <c r="H13" s="1" t="s">
        <v>105</v>
      </c>
    </row>
    <row r="14" spans="1:8">
      <c r="A14" s="1" t="s">
        <v>106</v>
      </c>
      <c r="B14" s="1" t="s">
        <v>86</v>
      </c>
      <c r="C14" s="1" t="s">
        <v>87</v>
      </c>
      <c r="D14" s="1" t="s">
        <v>83</v>
      </c>
      <c r="E14" s="1" t="s">
        <v>60</v>
      </c>
      <c r="F14" s="1">
        <v>6</v>
      </c>
      <c r="G14" s="1">
        <v>111</v>
      </c>
      <c r="H14" s="1" t="s">
        <v>107</v>
      </c>
    </row>
    <row r="15" spans="1:8">
      <c r="A15" s="1" t="s">
        <v>108</v>
      </c>
      <c r="B15" s="1" t="s">
        <v>91</v>
      </c>
      <c r="C15" s="1" t="s">
        <v>92</v>
      </c>
      <c r="D15" s="1" t="s">
        <v>88</v>
      </c>
      <c r="E15" s="1" t="s">
        <v>62</v>
      </c>
      <c r="F15" s="1">
        <v>1</v>
      </c>
      <c r="G15" s="1">
        <v>112</v>
      </c>
      <c r="H15" s="1" t="s">
        <v>109</v>
      </c>
    </row>
    <row r="16" spans="1:8">
      <c r="A16" s="1" t="s">
        <v>110</v>
      </c>
      <c r="B16" s="1" t="s">
        <v>76</v>
      </c>
      <c r="C16" s="1" t="s">
        <v>77</v>
      </c>
      <c r="D16" s="1" t="s">
        <v>78</v>
      </c>
      <c r="E16" s="1" t="s">
        <v>64</v>
      </c>
      <c r="F16" s="1">
        <v>2</v>
      </c>
      <c r="G16" s="1">
        <v>113</v>
      </c>
      <c r="H16" s="1" t="s">
        <v>111</v>
      </c>
    </row>
    <row r="17" spans="1:8">
      <c r="A17" s="1" t="s">
        <v>112</v>
      </c>
      <c r="B17" s="1" t="s">
        <v>81</v>
      </c>
      <c r="C17" s="1" t="s">
        <v>82</v>
      </c>
      <c r="D17" s="1" t="s">
        <v>83</v>
      </c>
      <c r="E17" s="1" t="s">
        <v>66</v>
      </c>
      <c r="F17" s="1">
        <v>3</v>
      </c>
      <c r="G17" s="1">
        <v>114</v>
      </c>
      <c r="H17" s="1" t="s">
        <v>113</v>
      </c>
    </row>
    <row r="18" spans="1:8">
      <c r="A18" s="1" t="s">
        <v>114</v>
      </c>
      <c r="B18" s="1" t="s">
        <v>86</v>
      </c>
      <c r="C18" s="1" t="s">
        <v>87</v>
      </c>
      <c r="D18" s="1" t="s">
        <v>88</v>
      </c>
      <c r="E18" s="1" t="s">
        <v>115</v>
      </c>
      <c r="F18" s="1">
        <v>4</v>
      </c>
      <c r="G18" s="1">
        <v>115</v>
      </c>
      <c r="H18" s="1" t="s">
        <v>116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K15" sqref="K15"/>
    </sheetView>
  </sheetViews>
  <sheetFormatPr defaultRowHeight="18.75"/>
  <cols>
    <col min="1" max="1" width="11.5" customWidth="1"/>
    <col min="2" max="2" width="13" customWidth="1"/>
    <col min="3" max="7" width="13.75" customWidth="1"/>
    <col min="8" max="8" width="12.5" customWidth="1"/>
  </cols>
  <sheetData>
    <row r="1" spans="1:8" ht="24" customHeight="1">
      <c r="A1" s="2" t="s">
        <v>117</v>
      </c>
    </row>
    <row r="2" spans="1:8" ht="18" customHeight="1"/>
    <row r="3" spans="1:8" s="7" customFormat="1">
      <c r="A3" s="9" t="s">
        <v>118</v>
      </c>
      <c r="B3" s="9" t="s">
        <v>119</v>
      </c>
      <c r="C3" s="9" t="s">
        <v>120</v>
      </c>
      <c r="D3" s="9" t="s">
        <v>121</v>
      </c>
      <c r="E3" s="9" t="s">
        <v>122</v>
      </c>
      <c r="F3" s="9" t="s">
        <v>123</v>
      </c>
      <c r="G3" s="9" t="s">
        <v>124</v>
      </c>
      <c r="H3" s="10" t="s">
        <v>137</v>
      </c>
    </row>
    <row r="4" spans="1:8">
      <c r="A4" t="s">
        <v>125</v>
      </c>
      <c r="B4" t="s">
        <v>17</v>
      </c>
      <c r="C4" s="8">
        <v>17200</v>
      </c>
      <c r="D4" s="8">
        <v>19100</v>
      </c>
      <c r="E4" s="8">
        <v>21000</v>
      </c>
      <c r="F4" s="8">
        <v>22900</v>
      </c>
      <c r="G4" s="8">
        <v>24800</v>
      </c>
      <c r="H4" s="6">
        <f>SUM(TblRangeFixed_2[[#This Row],[月]:[金]])</f>
        <v>105000</v>
      </c>
    </row>
    <row r="5" spans="1:8">
      <c r="A5" t="s">
        <v>126</v>
      </c>
      <c r="B5" t="s">
        <v>21</v>
      </c>
      <c r="C5" s="8">
        <v>19900</v>
      </c>
      <c r="D5" s="8">
        <v>21800</v>
      </c>
      <c r="E5" s="8">
        <v>23700</v>
      </c>
      <c r="F5" s="8">
        <v>25600</v>
      </c>
      <c r="G5" s="8">
        <v>27500</v>
      </c>
      <c r="H5" s="6">
        <f>SUM(TblRangeFixed_2[[#This Row],[月]:[金]])</f>
        <v>118500</v>
      </c>
    </row>
    <row r="6" spans="1:8">
      <c r="A6" t="s">
        <v>127</v>
      </c>
      <c r="B6" t="s">
        <v>25</v>
      </c>
      <c r="C6" s="8">
        <v>22600</v>
      </c>
      <c r="D6" s="8">
        <v>24500</v>
      </c>
      <c r="E6" s="8">
        <v>26400</v>
      </c>
      <c r="F6" s="8">
        <v>28300</v>
      </c>
      <c r="G6" s="8">
        <v>30200</v>
      </c>
      <c r="H6" s="6">
        <f>SUM(TblRangeFixed_2[[#This Row],[月]:[金]])</f>
        <v>132000</v>
      </c>
    </row>
    <row r="7" spans="1:8">
      <c r="A7" t="s">
        <v>128</v>
      </c>
      <c r="B7" t="s">
        <v>29</v>
      </c>
      <c r="C7" s="8">
        <v>25300</v>
      </c>
      <c r="D7" s="8">
        <v>27200</v>
      </c>
      <c r="E7" s="8">
        <v>29100</v>
      </c>
      <c r="F7" s="8">
        <v>31000</v>
      </c>
      <c r="G7" s="8">
        <v>32900</v>
      </c>
      <c r="H7" s="6">
        <f>SUM(TblRangeFixed_2[[#This Row],[月]:[金]])</f>
        <v>145500</v>
      </c>
    </row>
    <row r="8" spans="1:8">
      <c r="A8" t="s">
        <v>129</v>
      </c>
      <c r="B8" t="s">
        <v>33</v>
      </c>
      <c r="C8" s="8">
        <v>28000</v>
      </c>
      <c r="D8" s="8">
        <v>29900</v>
      </c>
      <c r="E8" s="8">
        <v>31800</v>
      </c>
      <c r="F8" s="8">
        <v>33700</v>
      </c>
      <c r="G8" s="8">
        <v>35600</v>
      </c>
      <c r="H8" s="6">
        <f>SUM(TblRangeFixed_2[[#This Row],[月]:[金]])</f>
        <v>159000</v>
      </c>
    </row>
    <row r="9" spans="1:8">
      <c r="A9" t="s">
        <v>130</v>
      </c>
      <c r="B9" t="s">
        <v>36</v>
      </c>
      <c r="C9" s="8">
        <v>30700</v>
      </c>
      <c r="D9" s="8">
        <v>32600</v>
      </c>
      <c r="E9" s="8">
        <v>34500</v>
      </c>
      <c r="F9" s="8">
        <v>36400</v>
      </c>
      <c r="G9" s="8">
        <v>38300</v>
      </c>
      <c r="H9" s="6">
        <f>SUM(TblRangeFixed_2[[#This Row],[月]:[金]])</f>
        <v>172500</v>
      </c>
    </row>
    <row r="10" spans="1:8">
      <c r="A10" t="s">
        <v>131</v>
      </c>
      <c r="B10" t="s">
        <v>39</v>
      </c>
      <c r="C10" s="8">
        <v>33400</v>
      </c>
      <c r="D10" s="8">
        <v>35300</v>
      </c>
      <c r="E10" s="8">
        <v>37200</v>
      </c>
      <c r="F10" s="8">
        <v>39100</v>
      </c>
      <c r="G10" s="8">
        <v>41000</v>
      </c>
      <c r="H10" s="6">
        <f>SUM(TblRangeFixed_2[[#This Row],[月]:[金]])</f>
        <v>186000</v>
      </c>
    </row>
    <row r="11" spans="1:8">
      <c r="A11" t="s">
        <v>132</v>
      </c>
      <c r="B11" t="s">
        <v>42</v>
      </c>
      <c r="C11" s="8">
        <v>36100</v>
      </c>
      <c r="D11" s="8">
        <v>38000</v>
      </c>
      <c r="E11" s="8">
        <v>39900</v>
      </c>
      <c r="F11" s="8">
        <v>41800</v>
      </c>
      <c r="G11" s="8">
        <v>43700</v>
      </c>
      <c r="H11" s="6">
        <f>SUM(TblRangeFixed_2[[#This Row],[月]:[金]])</f>
        <v>199500</v>
      </c>
    </row>
    <row r="12" spans="1:8">
      <c r="A12" t="s">
        <v>133</v>
      </c>
      <c r="B12" t="s">
        <v>44</v>
      </c>
      <c r="C12" s="8">
        <v>38800</v>
      </c>
      <c r="D12" s="8">
        <v>40700</v>
      </c>
      <c r="E12" s="8">
        <v>42600</v>
      </c>
      <c r="F12" s="8">
        <v>44500</v>
      </c>
      <c r="G12" s="8">
        <v>46400</v>
      </c>
      <c r="H12" s="6">
        <f>SUM(TblRangeFixed_2[[#This Row],[月]:[金]])</f>
        <v>213000</v>
      </c>
    </row>
    <row r="13" spans="1:8">
      <c r="A13" t="s">
        <v>134</v>
      </c>
      <c r="B13" t="s">
        <v>46</v>
      </c>
      <c r="C13" s="8">
        <v>41500</v>
      </c>
      <c r="D13" s="8">
        <v>43400</v>
      </c>
      <c r="E13" s="8">
        <v>45300</v>
      </c>
      <c r="F13" s="8">
        <v>47200</v>
      </c>
      <c r="G13" s="8">
        <v>13100</v>
      </c>
      <c r="H13" s="6">
        <f>SUM(TblRangeFixed_2[[#This Row],[月]:[金]])</f>
        <v>190500</v>
      </c>
    </row>
    <row r="14" spans="1:8">
      <c r="A14" t="s">
        <v>135</v>
      </c>
      <c r="B14" t="s">
        <v>48</v>
      </c>
      <c r="C14" s="8">
        <v>44200</v>
      </c>
      <c r="D14" s="8">
        <v>46100</v>
      </c>
      <c r="E14" s="8">
        <v>12000</v>
      </c>
      <c r="F14" s="8">
        <v>13900</v>
      </c>
      <c r="G14" s="8">
        <v>15800</v>
      </c>
      <c r="H14" s="6">
        <f>SUM(TblRangeFixed_2[[#This Row],[月]:[金]])</f>
        <v>132000</v>
      </c>
    </row>
    <row r="15" spans="1:8">
      <c r="A15" t="s">
        <v>136</v>
      </c>
      <c r="B15" t="s">
        <v>50</v>
      </c>
      <c r="C15" s="8">
        <v>46900</v>
      </c>
      <c r="D15" s="8">
        <v>12800</v>
      </c>
      <c r="E15" s="8">
        <v>14700</v>
      </c>
      <c r="F15" s="8">
        <v>16600</v>
      </c>
      <c r="G15" s="8">
        <v>18500</v>
      </c>
      <c r="H15" s="6">
        <f>SUM(TblRangeFixed_2[[#This Row],[月]:[金]])</f>
        <v>109500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販売確認</vt:lpstr>
      <vt:lpstr>係員台帳</vt:lpstr>
      <vt:lpstr>週次売上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2026-06-19T03:37:59Z</dcterms:created>
  <dcterms:modified xsi:type="dcterms:W3CDTF">2026-07-06T06:39:28Z</dcterms:modified>
</cp:coreProperties>
</file>