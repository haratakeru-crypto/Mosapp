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1\"/>
    </mc:Choice>
  </mc:AlternateContent>
  <xr:revisionPtr revIDLastSave="0" documentId="13_ncr:1_{620C8436-78E2-41EF-8E72-2CC00771F0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講習判定" sheetId="1" r:id="rId1"/>
    <sheet name="補助員名簿" sheetId="2" r:id="rId2"/>
    <sheet name="催事収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</calcChain>
</file>

<file path=xl/sharedStrings.xml><?xml version="1.0" encoding="utf-8"?>
<sst xmlns="http://schemas.openxmlformats.org/spreadsheetml/2006/main" count="235" uniqueCount="132">
  <si>
    <t>講習判定一覧</t>
  </si>
  <si>
    <t>No</t>
  </si>
  <si>
    <t>講習ID</t>
  </si>
  <si>
    <t>氏名</t>
  </si>
  <si>
    <t>地域</t>
  </si>
  <si>
    <t>区分</t>
  </si>
  <si>
    <t>理解度A</t>
  </si>
  <si>
    <t>理解度B</t>
  </si>
  <si>
    <t>理解度C</t>
  </si>
  <si>
    <t>理解度D</t>
  </si>
  <si>
    <t>理解度E</t>
  </si>
  <si>
    <t>平均値</t>
  </si>
  <si>
    <t>判定</t>
  </si>
  <si>
    <t>K5401</t>
  </si>
  <si>
    <t>黒沢 陸</t>
  </si>
  <si>
    <t>立川</t>
  </si>
  <si>
    <t>記録</t>
  </si>
  <si>
    <t>B</t>
  </si>
  <si>
    <t>K5402</t>
  </si>
  <si>
    <t>石崎 蓮</t>
  </si>
  <si>
    <t>名古屋</t>
  </si>
  <si>
    <t>会計</t>
  </si>
  <si>
    <t>K5403</t>
  </si>
  <si>
    <t>村井 芽衣</t>
  </si>
  <si>
    <t>大阪</t>
  </si>
  <si>
    <t>案内</t>
  </si>
  <si>
    <t>K5404</t>
  </si>
  <si>
    <t>久保 凛</t>
  </si>
  <si>
    <t>新宿</t>
  </si>
  <si>
    <t>補助</t>
  </si>
  <si>
    <t>K5405</t>
  </si>
  <si>
    <t>柴田 楓</t>
  </si>
  <si>
    <t>池袋</t>
  </si>
  <si>
    <t>検品</t>
  </si>
  <si>
    <t>K5406</t>
  </si>
  <si>
    <t>西山 咲良</t>
  </si>
  <si>
    <t>横浜</t>
  </si>
  <si>
    <t>巡回</t>
  </si>
  <si>
    <t>K5407</t>
  </si>
  <si>
    <t>浜崎 悠真</t>
  </si>
  <si>
    <t>千葉</t>
  </si>
  <si>
    <t>受付</t>
  </si>
  <si>
    <t>K5408</t>
  </si>
  <si>
    <t>真鍋 七海</t>
  </si>
  <si>
    <t>大宮</t>
  </si>
  <si>
    <t>K5409</t>
  </si>
  <si>
    <t>若杉 晴</t>
  </si>
  <si>
    <t>K5410</t>
  </si>
  <si>
    <t>杉浦 琴音</t>
  </si>
  <si>
    <t>K5411</t>
  </si>
  <si>
    <t>片岡 結衣</t>
  </si>
  <si>
    <t>C</t>
  </si>
  <si>
    <t>K5412</t>
  </si>
  <si>
    <t>栗原 颯太</t>
  </si>
  <si>
    <t>K5413</t>
  </si>
  <si>
    <t>三谷 美月</t>
  </si>
  <si>
    <t>K5414</t>
  </si>
  <si>
    <t>舟木 拓海</t>
  </si>
  <si>
    <t>K5415</t>
  </si>
  <si>
    <t>吉岡 蒼</t>
  </si>
  <si>
    <t>K5416</t>
  </si>
  <si>
    <t>塚本 陽菜</t>
  </si>
  <si>
    <t>A</t>
  </si>
  <si>
    <t>K5417</t>
  </si>
  <si>
    <t>森下 大和</t>
  </si>
  <si>
    <t>K5418</t>
  </si>
  <si>
    <t>本間 光</t>
  </si>
  <si>
    <t>K5419</t>
  </si>
  <si>
    <t>高梨 悠斗</t>
  </si>
  <si>
    <t>補助員名簿</t>
  </si>
  <si>
    <t>補助ID</t>
  </si>
  <si>
    <t>エリア</t>
  </si>
  <si>
    <t>係</t>
  </si>
  <si>
    <t>会場</t>
  </si>
  <si>
    <t>担当回数</t>
  </si>
  <si>
    <t>連絡名</t>
  </si>
  <si>
    <t>S52101</t>
  </si>
  <si>
    <t>西地区</t>
  </si>
  <si>
    <t>u501</t>
  </si>
  <si>
    <t>S52102</t>
  </si>
  <si>
    <t>南地区</t>
  </si>
  <si>
    <t>u502</t>
  </si>
  <si>
    <t>S52103</t>
  </si>
  <si>
    <t>北地区</t>
  </si>
  <si>
    <t>u503</t>
  </si>
  <si>
    <t>S52104</t>
  </si>
  <si>
    <t>東地区</t>
  </si>
  <si>
    <t>u504</t>
  </si>
  <si>
    <t>S52105</t>
  </si>
  <si>
    <t>u505</t>
  </si>
  <si>
    <t>S52106</t>
  </si>
  <si>
    <t>u506</t>
  </si>
  <si>
    <t>S52107</t>
  </si>
  <si>
    <t>u507</t>
  </si>
  <si>
    <t>S52108</t>
  </si>
  <si>
    <t>u508</t>
  </si>
  <si>
    <t>S52109</t>
  </si>
  <si>
    <t>u509</t>
  </si>
  <si>
    <t>S52110</t>
  </si>
  <si>
    <t>u510</t>
  </si>
  <si>
    <t>S52111</t>
  </si>
  <si>
    <t>u511</t>
  </si>
  <si>
    <t>S52112</t>
  </si>
  <si>
    <t>u512</t>
  </si>
  <si>
    <t>S52113</t>
  </si>
  <si>
    <t>宮本 湊</t>
  </si>
  <si>
    <t>u513</t>
  </si>
  <si>
    <t>S52114</t>
  </si>
  <si>
    <t>成瀬 彩音</t>
  </si>
  <si>
    <t>u514</t>
  </si>
  <si>
    <t>催事収入一覧</t>
  </si>
  <si>
    <t>催事名</t>
  </si>
  <si>
    <t>責任者</t>
  </si>
  <si>
    <t>第1日</t>
  </si>
  <si>
    <t>第2日</t>
  </si>
  <si>
    <t>第3日</t>
  </si>
  <si>
    <t>第4日</t>
  </si>
  <si>
    <t>第5日</t>
  </si>
  <si>
    <t>区画F</t>
  </si>
  <si>
    <t>区画G</t>
  </si>
  <si>
    <t>区画H</t>
  </si>
  <si>
    <t>区画I</t>
  </si>
  <si>
    <t>区画J</t>
  </si>
  <si>
    <t>区画K</t>
  </si>
  <si>
    <t>区画L</t>
  </si>
  <si>
    <t>区画M</t>
  </si>
  <si>
    <t>区画N</t>
  </si>
  <si>
    <t>区画O</t>
  </si>
  <si>
    <t>区画A</t>
  </si>
  <si>
    <t>区画B</t>
  </si>
  <si>
    <t>区画C</t>
  </si>
  <si>
    <t>合計</t>
    <rPh sb="0" eb="2">
      <t>ゴウケイ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</si>
</sst>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b/>
      <sz val="11"/>
      <color theme="0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center"/>
    </xf>
    <xf numFmtId="38" fontId="0" fillId="0" borderId="0" xfId="1" applyFont="1" applyAlignment="1"/>
    <xf numFmtId="0" fontId="7" fillId="0" borderId="0" xfId="0" applyFont="1" applyAlignment="1">
      <alignment horizontal="center"/>
    </xf>
    <xf numFmtId="38" fontId="0" fillId="0" borderId="0" xfId="1" applyFont="1" applyBorder="1" applyAlignment="1"/>
    <xf numFmtId="0" fontId="5" fillId="0" borderId="1" xfId="0" applyFont="1" applyBorder="1" applyAlignment="1">
      <alignment horizontal="center"/>
    </xf>
  </cellXfs>
  <cellStyles count="2">
    <cellStyle name="桁区切り" xfId="1" builtinId="6"/>
    <cellStyle name="標準" xfId="0" builtinId="0"/>
  </cellStyles>
  <dxfs count="17"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ＭＳ Ｐゴシック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  <border outline="0"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inFixed_5" displayName="TblMainFixed_5" ref="A3:L22" headerRowDxfId="16" dataDxfId="15" totalsRowDxfId="14">
  <autoFilter ref="A3:L22" xr:uid="{00000000-0009-0000-0100-000001000000}"/>
  <tableColumns count="12">
    <tableColumn id="1" xr3:uid="{00000000-0010-0000-0000-000001000000}" name="No" dataDxfId="13"/>
    <tableColumn id="2" xr3:uid="{00000000-0010-0000-0000-000002000000}" name="講習ID" dataDxfId="12"/>
    <tableColumn id="3" xr3:uid="{00000000-0010-0000-0000-000003000000}" name="氏名" dataDxfId="11"/>
    <tableColumn id="4" xr3:uid="{00000000-0010-0000-0000-000004000000}" name="地域" dataDxfId="10"/>
    <tableColumn id="5" xr3:uid="{00000000-0010-0000-0000-000005000000}" name="区分" dataDxfId="9"/>
    <tableColumn id="6" xr3:uid="{00000000-0010-0000-0000-000006000000}" name="理解度A" dataDxfId="8"/>
    <tableColumn id="7" xr3:uid="{00000000-0010-0000-0000-000007000000}" name="理解度B" dataDxfId="7"/>
    <tableColumn id="8" xr3:uid="{00000000-0010-0000-0000-000008000000}" name="理解度C" dataDxfId="6"/>
    <tableColumn id="9" xr3:uid="{00000000-0010-0000-0000-000009000000}" name="理解度D" dataDxfId="5"/>
    <tableColumn id="10" xr3:uid="{00000000-0010-0000-0000-00000A000000}" name="理解度E" dataDxfId="4"/>
    <tableColumn id="11" xr3:uid="{00000000-0010-0000-0000-00000B000000}" name="平均値" dataDxfId="3"/>
    <tableColumn id="12" xr3:uid="{00000000-0010-0000-0000-00000C000000}" name="判定" dataDxfId="2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lterFixed_5" displayName="TblFilterFixed_5" ref="A3:G17" headerRowDxfId="1">
  <autoFilter ref="A3:G17" xr:uid="{00000000-0009-0000-0100-000002000000}"/>
  <tableColumns count="7">
    <tableColumn id="1" xr3:uid="{00000000-0010-0000-0100-000001000000}" name="補助ID"/>
    <tableColumn id="2" xr3:uid="{00000000-0010-0000-0100-000002000000}" name="エリア"/>
    <tableColumn id="3" xr3:uid="{00000000-0010-0000-0100-000003000000}" name="係"/>
    <tableColumn id="4" xr3:uid="{00000000-0010-0000-0100-000004000000}" name="会場"/>
    <tableColumn id="5" xr3:uid="{00000000-0010-0000-0100-000005000000}" name="氏名"/>
    <tableColumn id="6" xr3:uid="{00000000-0010-0000-0100-000006000000}" name="担当回数"/>
    <tableColumn id="7" xr3:uid="{00000000-0010-0000-0100-000007000000}" name="連絡名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angeFixed_5" displayName="TblRangeFixed_5" ref="A3:G16" headerRowDxfId="0">
  <autoFilter ref="A3:G16" xr:uid="{00000000-0009-0000-0100-000003000000}"/>
  <tableColumns count="7">
    <tableColumn id="1" xr3:uid="{00000000-0010-0000-0200-000001000000}" name="催事名"/>
    <tableColumn id="2" xr3:uid="{00000000-0010-0000-0200-000002000000}" name="責任者"/>
    <tableColumn id="3" xr3:uid="{00000000-0010-0000-0200-000003000000}" name="第1日" dataCellStyle="桁区切り"/>
    <tableColumn id="4" xr3:uid="{00000000-0010-0000-0200-000004000000}" name="第2日" dataCellStyle="桁区切り"/>
    <tableColumn id="5" xr3:uid="{00000000-0010-0000-0200-000005000000}" name="第3日" dataCellStyle="桁区切り"/>
    <tableColumn id="6" xr3:uid="{00000000-0010-0000-0200-000006000000}" name="第4日" dataCellStyle="桁区切り"/>
    <tableColumn id="7" xr3:uid="{00000000-0010-0000-0200-000007000000}" name="第5日" dataCellStyle="桁区切り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黄色がかったオレンジ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D18" sqref="D18"/>
    </sheetView>
  </sheetViews>
  <sheetFormatPr defaultRowHeight="18.75" x14ac:dyDescent="0.4"/>
  <cols>
    <col min="1" max="1" width="8" customWidth="1"/>
    <col min="2" max="2" width="13" customWidth="1"/>
    <col min="3" max="3" width="14" customWidth="1"/>
    <col min="4" max="4" width="10" customWidth="1"/>
    <col min="5" max="5" width="12" customWidth="1"/>
    <col min="6" max="12" width="16" customWidth="1"/>
  </cols>
  <sheetData>
    <row r="1" spans="1:12" ht="24" customHeight="1" x14ac:dyDescent="0.4">
      <c r="A1" s="1" t="s">
        <v>0</v>
      </c>
    </row>
    <row r="2" spans="1:12" ht="18" customHeight="1" x14ac:dyDescent="0.4"/>
    <row r="3" spans="1:12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4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>
        <v>71</v>
      </c>
      <c r="G4" s="3">
        <v>80</v>
      </c>
      <c r="H4" s="3">
        <v>89</v>
      </c>
      <c r="I4" s="3">
        <v>98</v>
      </c>
      <c r="J4" s="3">
        <v>68</v>
      </c>
      <c r="K4" s="3">
        <v>81.2</v>
      </c>
      <c r="L4" s="8" t="s">
        <v>17</v>
      </c>
    </row>
    <row r="5" spans="1:12" x14ac:dyDescent="0.4">
      <c r="A5" s="3">
        <v>2</v>
      </c>
      <c r="B5" s="3" t="s">
        <v>18</v>
      </c>
      <c r="C5" s="3" t="s">
        <v>19</v>
      </c>
      <c r="D5" s="3" t="s">
        <v>20</v>
      </c>
      <c r="E5" s="3" t="s">
        <v>21</v>
      </c>
      <c r="F5" s="3">
        <v>78</v>
      </c>
      <c r="G5" s="3">
        <v>87</v>
      </c>
      <c r="H5" s="3">
        <v>96</v>
      </c>
      <c r="I5" s="3">
        <v>66</v>
      </c>
      <c r="J5" s="3">
        <v>75</v>
      </c>
      <c r="K5" s="3">
        <v>80.400000000000006</v>
      </c>
      <c r="L5" s="8" t="s">
        <v>17</v>
      </c>
    </row>
    <row r="6" spans="1:12" x14ac:dyDescent="0.4">
      <c r="A6" s="3">
        <v>3</v>
      </c>
      <c r="B6" s="3" t="s">
        <v>22</v>
      </c>
      <c r="C6" s="3" t="s">
        <v>23</v>
      </c>
      <c r="D6" s="3" t="s">
        <v>24</v>
      </c>
      <c r="E6" s="3" t="s">
        <v>25</v>
      </c>
      <c r="F6" s="3">
        <v>85</v>
      </c>
      <c r="G6" s="3">
        <v>94</v>
      </c>
      <c r="H6" s="3">
        <v>64</v>
      </c>
      <c r="I6" s="3">
        <v>73</v>
      </c>
      <c r="J6" s="3">
        <v>82</v>
      </c>
      <c r="K6" s="3">
        <v>79.599999999999994</v>
      </c>
      <c r="L6" s="8" t="s">
        <v>17</v>
      </c>
    </row>
    <row r="7" spans="1:12" x14ac:dyDescent="0.4">
      <c r="A7" s="3">
        <v>4</v>
      </c>
      <c r="B7" s="3" t="s">
        <v>26</v>
      </c>
      <c r="C7" s="3" t="s">
        <v>27</v>
      </c>
      <c r="D7" s="3" t="s">
        <v>28</v>
      </c>
      <c r="E7" s="3" t="s">
        <v>29</v>
      </c>
      <c r="F7" s="3">
        <v>92</v>
      </c>
      <c r="G7" s="3">
        <v>62</v>
      </c>
      <c r="H7" s="3">
        <v>71</v>
      </c>
      <c r="I7" s="3">
        <v>80</v>
      </c>
      <c r="J7" s="3">
        <v>89</v>
      </c>
      <c r="K7" s="3">
        <v>78.8</v>
      </c>
      <c r="L7" s="8" t="s">
        <v>17</v>
      </c>
    </row>
    <row r="8" spans="1:12" x14ac:dyDescent="0.4">
      <c r="A8" s="3">
        <v>5</v>
      </c>
      <c r="B8" s="3" t="s">
        <v>30</v>
      </c>
      <c r="C8" s="3" t="s">
        <v>31</v>
      </c>
      <c r="D8" s="3" t="s">
        <v>32</v>
      </c>
      <c r="E8" s="3" t="s">
        <v>33</v>
      </c>
      <c r="F8" s="3">
        <v>60</v>
      </c>
      <c r="G8" s="3">
        <v>69</v>
      </c>
      <c r="H8" s="3">
        <v>78</v>
      </c>
      <c r="I8" s="3">
        <v>87</v>
      </c>
      <c r="J8" s="3">
        <v>96</v>
      </c>
      <c r="K8" s="3">
        <v>78</v>
      </c>
      <c r="L8" s="8" t="s">
        <v>17</v>
      </c>
    </row>
    <row r="9" spans="1:12" x14ac:dyDescent="0.4">
      <c r="A9" s="3">
        <v>6</v>
      </c>
      <c r="B9" s="3" t="s">
        <v>34</v>
      </c>
      <c r="C9" s="3" t="s">
        <v>35</v>
      </c>
      <c r="D9" s="3" t="s">
        <v>36</v>
      </c>
      <c r="E9" s="3" t="s">
        <v>37</v>
      </c>
      <c r="F9" s="3">
        <v>67</v>
      </c>
      <c r="G9" s="3">
        <v>76</v>
      </c>
      <c r="H9" s="3">
        <v>85</v>
      </c>
      <c r="I9" s="3">
        <v>94</v>
      </c>
      <c r="J9" s="3">
        <v>64</v>
      </c>
      <c r="K9" s="3">
        <v>77.2</v>
      </c>
      <c r="L9" s="8" t="s">
        <v>17</v>
      </c>
    </row>
    <row r="10" spans="1:12" x14ac:dyDescent="0.4">
      <c r="A10" s="3">
        <v>7</v>
      </c>
      <c r="B10" s="3" t="s">
        <v>38</v>
      </c>
      <c r="C10" s="3" t="s">
        <v>39</v>
      </c>
      <c r="D10" s="3" t="s">
        <v>40</v>
      </c>
      <c r="E10" s="3" t="s">
        <v>41</v>
      </c>
      <c r="F10" s="3">
        <v>74</v>
      </c>
      <c r="G10" s="3">
        <v>83</v>
      </c>
      <c r="H10" s="3">
        <v>92</v>
      </c>
      <c r="I10" s="3">
        <v>62</v>
      </c>
      <c r="J10" s="3">
        <v>71</v>
      </c>
      <c r="K10" s="3">
        <v>76.400000000000006</v>
      </c>
      <c r="L10" s="8" t="s">
        <v>17</v>
      </c>
    </row>
    <row r="11" spans="1:12" x14ac:dyDescent="0.4">
      <c r="A11" s="3">
        <v>8</v>
      </c>
      <c r="B11" s="3" t="s">
        <v>42</v>
      </c>
      <c r="C11" s="3" t="s">
        <v>43</v>
      </c>
      <c r="D11" s="3" t="s">
        <v>44</v>
      </c>
      <c r="E11" s="3" t="s">
        <v>16</v>
      </c>
      <c r="F11" s="3">
        <v>81</v>
      </c>
      <c r="G11" s="3">
        <v>90</v>
      </c>
      <c r="H11" s="3">
        <v>60</v>
      </c>
      <c r="I11" s="3">
        <v>69</v>
      </c>
      <c r="J11" s="3">
        <v>78</v>
      </c>
      <c r="K11" s="3">
        <v>75.599999999999994</v>
      </c>
      <c r="L11" s="8" t="s">
        <v>17</v>
      </c>
    </row>
    <row r="12" spans="1:12" x14ac:dyDescent="0.4">
      <c r="A12" s="3">
        <v>9</v>
      </c>
      <c r="B12" s="3" t="s">
        <v>45</v>
      </c>
      <c r="C12" s="3" t="s">
        <v>46</v>
      </c>
      <c r="D12" s="3" t="s">
        <v>15</v>
      </c>
      <c r="E12" s="3" t="s">
        <v>21</v>
      </c>
      <c r="F12" s="3">
        <v>88</v>
      </c>
      <c r="G12" s="3">
        <v>97</v>
      </c>
      <c r="H12" s="3">
        <v>67</v>
      </c>
      <c r="I12" s="3">
        <v>76</v>
      </c>
      <c r="J12" s="3">
        <v>85</v>
      </c>
      <c r="K12" s="3">
        <v>82.6</v>
      </c>
      <c r="L12" s="8" t="s">
        <v>17</v>
      </c>
    </row>
    <row r="13" spans="1:12" x14ac:dyDescent="0.4">
      <c r="A13" s="3">
        <v>10</v>
      </c>
      <c r="B13" s="3" t="s">
        <v>47</v>
      </c>
      <c r="C13" s="3" t="s">
        <v>48</v>
      </c>
      <c r="D13" s="3" t="s">
        <v>20</v>
      </c>
      <c r="E13" s="3" t="s">
        <v>25</v>
      </c>
      <c r="F13" s="3">
        <v>95</v>
      </c>
      <c r="G13" s="3">
        <v>65</v>
      </c>
      <c r="H13" s="3">
        <v>74</v>
      </c>
      <c r="I13" s="3">
        <v>83</v>
      </c>
      <c r="J13" s="3">
        <v>92</v>
      </c>
      <c r="K13" s="3">
        <v>81.8</v>
      </c>
      <c r="L13" s="8" t="s">
        <v>17</v>
      </c>
    </row>
    <row r="14" spans="1:12" x14ac:dyDescent="0.4">
      <c r="A14" s="3">
        <v>11</v>
      </c>
      <c r="B14" s="3" t="s">
        <v>49</v>
      </c>
      <c r="C14" s="3" t="s">
        <v>50</v>
      </c>
      <c r="D14" s="3" t="s">
        <v>24</v>
      </c>
      <c r="E14" s="3" t="s">
        <v>29</v>
      </c>
      <c r="F14" s="3">
        <v>63</v>
      </c>
      <c r="G14" s="3">
        <v>72</v>
      </c>
      <c r="H14" s="3">
        <v>81</v>
      </c>
      <c r="I14" s="3">
        <v>90</v>
      </c>
      <c r="J14" s="3">
        <v>60</v>
      </c>
      <c r="K14" s="3">
        <v>73.2</v>
      </c>
      <c r="L14" s="8" t="s">
        <v>51</v>
      </c>
    </row>
    <row r="15" spans="1:12" x14ac:dyDescent="0.4">
      <c r="A15" s="3">
        <v>12</v>
      </c>
      <c r="B15" s="3" t="s">
        <v>52</v>
      </c>
      <c r="C15" s="3" t="s">
        <v>53</v>
      </c>
      <c r="D15" s="3" t="s">
        <v>28</v>
      </c>
      <c r="E15" s="3" t="s">
        <v>33</v>
      </c>
      <c r="F15" s="3">
        <v>70</v>
      </c>
      <c r="G15" s="3">
        <v>79</v>
      </c>
      <c r="H15" s="3">
        <v>88</v>
      </c>
      <c r="I15" s="3">
        <v>97</v>
      </c>
      <c r="J15" s="3">
        <v>67</v>
      </c>
      <c r="K15" s="3">
        <v>80.2</v>
      </c>
      <c r="L15" s="8" t="s">
        <v>17</v>
      </c>
    </row>
    <row r="16" spans="1:12" x14ac:dyDescent="0.4">
      <c r="A16" s="3">
        <v>13</v>
      </c>
      <c r="B16" s="3" t="s">
        <v>54</v>
      </c>
      <c r="C16" s="3" t="s">
        <v>55</v>
      </c>
      <c r="D16" s="3" t="s">
        <v>32</v>
      </c>
      <c r="E16" s="3" t="s">
        <v>37</v>
      </c>
      <c r="F16" s="3">
        <v>77</v>
      </c>
      <c r="G16" s="3">
        <v>86</v>
      </c>
      <c r="H16" s="3">
        <v>95</v>
      </c>
      <c r="I16" s="3">
        <v>65</v>
      </c>
      <c r="J16" s="3">
        <v>74</v>
      </c>
      <c r="K16" s="3">
        <v>79.400000000000006</v>
      </c>
      <c r="L16" s="8" t="s">
        <v>17</v>
      </c>
    </row>
    <row r="17" spans="1:12" x14ac:dyDescent="0.4">
      <c r="A17" s="3">
        <v>14</v>
      </c>
      <c r="B17" s="3" t="s">
        <v>56</v>
      </c>
      <c r="C17" s="3" t="s">
        <v>57</v>
      </c>
      <c r="D17" s="3" t="s">
        <v>36</v>
      </c>
      <c r="E17" s="3" t="s">
        <v>41</v>
      </c>
      <c r="F17" s="3">
        <v>84</v>
      </c>
      <c r="G17" s="3">
        <v>93</v>
      </c>
      <c r="H17" s="3">
        <v>63</v>
      </c>
      <c r="I17" s="3">
        <v>72</v>
      </c>
      <c r="J17" s="3">
        <v>81</v>
      </c>
      <c r="K17" s="3">
        <v>78.599999999999994</v>
      </c>
      <c r="L17" s="8" t="s">
        <v>17</v>
      </c>
    </row>
    <row r="18" spans="1:12" x14ac:dyDescent="0.4">
      <c r="A18" s="3">
        <v>15</v>
      </c>
      <c r="B18" s="3" t="s">
        <v>58</v>
      </c>
      <c r="C18" s="3" t="s">
        <v>59</v>
      </c>
      <c r="D18" s="3" t="s">
        <v>40</v>
      </c>
      <c r="E18" s="3" t="s">
        <v>16</v>
      </c>
      <c r="F18" s="3">
        <v>91</v>
      </c>
      <c r="G18" s="3">
        <v>61</v>
      </c>
      <c r="H18" s="3">
        <v>70</v>
      </c>
      <c r="I18" s="3">
        <v>79</v>
      </c>
      <c r="J18" s="3">
        <v>88</v>
      </c>
      <c r="K18" s="3">
        <v>77.8</v>
      </c>
      <c r="L18" s="8" t="s">
        <v>17</v>
      </c>
    </row>
    <row r="19" spans="1:12" x14ac:dyDescent="0.4">
      <c r="A19" s="3">
        <v>16</v>
      </c>
      <c r="B19" s="3" t="s">
        <v>60</v>
      </c>
      <c r="C19" s="3" t="s">
        <v>61</v>
      </c>
      <c r="D19" s="3" t="s">
        <v>44</v>
      </c>
      <c r="E19" s="3" t="s">
        <v>21</v>
      </c>
      <c r="F19" s="3">
        <v>98</v>
      </c>
      <c r="G19" s="3">
        <v>68</v>
      </c>
      <c r="H19" s="3">
        <v>77</v>
      </c>
      <c r="I19" s="3">
        <v>86</v>
      </c>
      <c r="J19" s="3">
        <v>95</v>
      </c>
      <c r="K19" s="3">
        <v>84.8</v>
      </c>
      <c r="L19" s="8" t="s">
        <v>62</v>
      </c>
    </row>
    <row r="20" spans="1:12" x14ac:dyDescent="0.4">
      <c r="A20" s="3">
        <v>17</v>
      </c>
      <c r="B20" s="3" t="s">
        <v>63</v>
      </c>
      <c r="C20" s="3" t="s">
        <v>64</v>
      </c>
      <c r="D20" s="3" t="s">
        <v>15</v>
      </c>
      <c r="E20" s="3" t="s">
        <v>25</v>
      </c>
      <c r="F20" s="3">
        <v>66</v>
      </c>
      <c r="G20" s="3">
        <v>75</v>
      </c>
      <c r="H20" s="3">
        <v>84</v>
      </c>
      <c r="I20" s="3">
        <v>93</v>
      </c>
      <c r="J20" s="3">
        <v>63</v>
      </c>
      <c r="K20" s="3">
        <v>76.2</v>
      </c>
      <c r="L20" s="8" t="s">
        <v>17</v>
      </c>
    </row>
    <row r="21" spans="1:12" x14ac:dyDescent="0.4">
      <c r="A21" s="3">
        <v>18</v>
      </c>
      <c r="B21" s="3" t="s">
        <v>65</v>
      </c>
      <c r="C21" s="3" t="s">
        <v>66</v>
      </c>
      <c r="D21" s="3" t="s">
        <v>20</v>
      </c>
      <c r="E21" s="3" t="s">
        <v>29</v>
      </c>
      <c r="F21" s="3">
        <v>73</v>
      </c>
      <c r="G21" s="3">
        <v>82</v>
      </c>
      <c r="H21" s="3">
        <v>91</v>
      </c>
      <c r="I21" s="3">
        <v>61</v>
      </c>
      <c r="J21" s="3">
        <v>70</v>
      </c>
      <c r="K21" s="3">
        <v>75.400000000000006</v>
      </c>
      <c r="L21" s="8" t="s">
        <v>17</v>
      </c>
    </row>
    <row r="22" spans="1:12" x14ac:dyDescent="0.4">
      <c r="A22" s="3">
        <v>19</v>
      </c>
      <c r="B22" s="3" t="s">
        <v>67</v>
      </c>
      <c r="C22" s="3" t="s">
        <v>68</v>
      </c>
      <c r="D22" s="3" t="s">
        <v>24</v>
      </c>
      <c r="E22" s="3" t="s">
        <v>33</v>
      </c>
      <c r="F22" s="3">
        <v>80</v>
      </c>
      <c r="G22" s="3">
        <v>89</v>
      </c>
      <c r="H22" s="3">
        <v>98</v>
      </c>
      <c r="I22" s="3">
        <v>68</v>
      </c>
      <c r="J22" s="3">
        <v>77</v>
      </c>
      <c r="K22" s="3">
        <v>82.4</v>
      </c>
      <c r="L22" s="8" t="s">
        <v>17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8.75" x14ac:dyDescent="0.4"/>
  <cols>
    <col min="1" max="1" width="11.875" customWidth="1"/>
    <col min="2" max="2" width="13" customWidth="1"/>
    <col min="3" max="3" width="14" customWidth="1"/>
    <col min="4" max="4" width="10" customWidth="1"/>
    <col min="5" max="5" width="12" customWidth="1"/>
    <col min="6" max="7" width="10" customWidth="1"/>
  </cols>
  <sheetData>
    <row r="1" spans="1:7" ht="24" customHeight="1" x14ac:dyDescent="0.4">
      <c r="A1" s="1" t="s">
        <v>69</v>
      </c>
    </row>
    <row r="2" spans="1:7" ht="18" customHeight="1" x14ac:dyDescent="0.4"/>
    <row r="3" spans="1:7" x14ac:dyDescent="0.4">
      <c r="A3" s="4" t="s">
        <v>70</v>
      </c>
      <c r="B3" s="4" t="s">
        <v>71</v>
      </c>
      <c r="C3" s="4" t="s">
        <v>72</v>
      </c>
      <c r="D3" s="4" t="s">
        <v>73</v>
      </c>
      <c r="E3" s="4" t="s">
        <v>3</v>
      </c>
      <c r="F3" s="4" t="s">
        <v>74</v>
      </c>
      <c r="G3" s="4" t="s">
        <v>75</v>
      </c>
    </row>
    <row r="4" spans="1:7" x14ac:dyDescent="0.4">
      <c r="A4" t="s">
        <v>76</v>
      </c>
      <c r="B4" t="s">
        <v>77</v>
      </c>
      <c r="C4" t="s">
        <v>16</v>
      </c>
      <c r="D4" t="s">
        <v>44</v>
      </c>
      <c r="E4" t="s">
        <v>43</v>
      </c>
      <c r="F4">
        <v>2</v>
      </c>
      <c r="G4" t="s">
        <v>78</v>
      </c>
    </row>
    <row r="5" spans="1:7" x14ac:dyDescent="0.4">
      <c r="A5" t="s">
        <v>79</v>
      </c>
      <c r="B5" t="s">
        <v>80</v>
      </c>
      <c r="C5" t="s">
        <v>16</v>
      </c>
      <c r="D5" t="s">
        <v>15</v>
      </c>
      <c r="E5" t="s">
        <v>46</v>
      </c>
      <c r="F5">
        <v>3</v>
      </c>
      <c r="G5" t="s">
        <v>81</v>
      </c>
    </row>
    <row r="6" spans="1:7" x14ac:dyDescent="0.4">
      <c r="A6" t="s">
        <v>82</v>
      </c>
      <c r="B6" t="s">
        <v>83</v>
      </c>
      <c r="C6" t="s">
        <v>25</v>
      </c>
      <c r="D6" t="s">
        <v>20</v>
      </c>
      <c r="E6" t="s">
        <v>48</v>
      </c>
      <c r="F6">
        <v>4</v>
      </c>
      <c r="G6" t="s">
        <v>84</v>
      </c>
    </row>
    <row r="7" spans="1:7" x14ac:dyDescent="0.4">
      <c r="A7" t="s">
        <v>85</v>
      </c>
      <c r="B7" t="s">
        <v>86</v>
      </c>
      <c r="C7" t="s">
        <v>41</v>
      </c>
      <c r="D7" t="s">
        <v>24</v>
      </c>
      <c r="E7" t="s">
        <v>50</v>
      </c>
      <c r="F7">
        <v>5</v>
      </c>
      <c r="G7" t="s">
        <v>87</v>
      </c>
    </row>
    <row r="8" spans="1:7" x14ac:dyDescent="0.4">
      <c r="A8" t="s">
        <v>88</v>
      </c>
      <c r="B8" t="s">
        <v>77</v>
      </c>
      <c r="C8" t="s">
        <v>16</v>
      </c>
      <c r="D8" t="s">
        <v>28</v>
      </c>
      <c r="E8" t="s">
        <v>53</v>
      </c>
      <c r="F8">
        <v>6</v>
      </c>
      <c r="G8" t="s">
        <v>89</v>
      </c>
    </row>
    <row r="9" spans="1:7" x14ac:dyDescent="0.4">
      <c r="A9" t="s">
        <v>90</v>
      </c>
      <c r="B9" t="s">
        <v>80</v>
      </c>
      <c r="C9" t="s">
        <v>16</v>
      </c>
      <c r="D9" t="s">
        <v>32</v>
      </c>
      <c r="E9" t="s">
        <v>55</v>
      </c>
      <c r="F9">
        <v>1</v>
      </c>
      <c r="G9" t="s">
        <v>91</v>
      </c>
    </row>
    <row r="10" spans="1:7" x14ac:dyDescent="0.4">
      <c r="A10" t="s">
        <v>92</v>
      </c>
      <c r="B10" t="s">
        <v>83</v>
      </c>
      <c r="C10" t="s">
        <v>25</v>
      </c>
      <c r="D10" t="s">
        <v>36</v>
      </c>
      <c r="E10" t="s">
        <v>57</v>
      </c>
      <c r="F10">
        <v>2</v>
      </c>
      <c r="G10" t="s">
        <v>93</v>
      </c>
    </row>
    <row r="11" spans="1:7" x14ac:dyDescent="0.4">
      <c r="A11" t="s">
        <v>94</v>
      </c>
      <c r="B11" t="s">
        <v>86</v>
      </c>
      <c r="C11" t="s">
        <v>41</v>
      </c>
      <c r="D11" t="s">
        <v>40</v>
      </c>
      <c r="E11" t="s">
        <v>59</v>
      </c>
      <c r="F11">
        <v>3</v>
      </c>
      <c r="G11" t="s">
        <v>95</v>
      </c>
    </row>
    <row r="12" spans="1:7" x14ac:dyDescent="0.4">
      <c r="A12" t="s">
        <v>96</v>
      </c>
      <c r="B12" t="s">
        <v>77</v>
      </c>
      <c r="C12" t="s">
        <v>16</v>
      </c>
      <c r="D12" t="s">
        <v>44</v>
      </c>
      <c r="E12" t="s">
        <v>61</v>
      </c>
      <c r="F12">
        <v>4</v>
      </c>
      <c r="G12" t="s">
        <v>97</v>
      </c>
    </row>
    <row r="13" spans="1:7" x14ac:dyDescent="0.4">
      <c r="A13" t="s">
        <v>98</v>
      </c>
      <c r="B13" t="s">
        <v>80</v>
      </c>
      <c r="C13" t="s">
        <v>21</v>
      </c>
      <c r="D13" t="s">
        <v>15</v>
      </c>
      <c r="E13" t="s">
        <v>64</v>
      </c>
      <c r="F13">
        <v>5</v>
      </c>
      <c r="G13" t="s">
        <v>99</v>
      </c>
    </row>
    <row r="14" spans="1:7" x14ac:dyDescent="0.4">
      <c r="A14" t="s">
        <v>100</v>
      </c>
      <c r="B14" t="s">
        <v>83</v>
      </c>
      <c r="C14" t="s">
        <v>25</v>
      </c>
      <c r="D14" t="s">
        <v>20</v>
      </c>
      <c r="E14" t="s">
        <v>66</v>
      </c>
      <c r="F14">
        <v>6</v>
      </c>
      <c r="G14" t="s">
        <v>101</v>
      </c>
    </row>
    <row r="15" spans="1:7" x14ac:dyDescent="0.4">
      <c r="A15" t="s">
        <v>102</v>
      </c>
      <c r="B15" t="s">
        <v>86</v>
      </c>
      <c r="C15" t="s">
        <v>41</v>
      </c>
      <c r="D15" t="s">
        <v>24</v>
      </c>
      <c r="E15" t="s">
        <v>68</v>
      </c>
      <c r="F15">
        <v>1</v>
      </c>
      <c r="G15" t="s">
        <v>103</v>
      </c>
    </row>
    <row r="16" spans="1:7" x14ac:dyDescent="0.4">
      <c r="A16" t="s">
        <v>104</v>
      </c>
      <c r="B16" t="s">
        <v>77</v>
      </c>
      <c r="C16" t="s">
        <v>16</v>
      </c>
      <c r="D16" t="s">
        <v>28</v>
      </c>
      <c r="E16" t="s">
        <v>105</v>
      </c>
      <c r="F16">
        <v>2</v>
      </c>
      <c r="G16" t="s">
        <v>106</v>
      </c>
    </row>
    <row r="17" spans="1:7" x14ac:dyDescent="0.4">
      <c r="A17" t="s">
        <v>107</v>
      </c>
      <c r="B17" t="s">
        <v>80</v>
      </c>
      <c r="C17" t="s">
        <v>21</v>
      </c>
      <c r="D17" t="s">
        <v>32</v>
      </c>
      <c r="E17" t="s">
        <v>108</v>
      </c>
      <c r="F17">
        <v>3</v>
      </c>
      <c r="G17" t="s">
        <v>109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H16" sqref="H16"/>
    </sheetView>
  </sheetViews>
  <sheetFormatPr defaultRowHeight="18.75" x14ac:dyDescent="0.4"/>
  <cols>
    <col min="1" max="1" width="12" customWidth="1"/>
    <col min="2" max="7" width="13" customWidth="1"/>
    <col min="8" max="8" width="14.125" customWidth="1"/>
  </cols>
  <sheetData>
    <row r="1" spans="1:8" ht="24" customHeight="1" x14ac:dyDescent="0.4">
      <c r="A1" s="1" t="s">
        <v>110</v>
      </c>
    </row>
    <row r="2" spans="1:8" ht="18" customHeight="1" x14ac:dyDescent="0.4"/>
    <row r="3" spans="1:8" x14ac:dyDescent="0.4">
      <c r="A3" s="4" t="s">
        <v>111</v>
      </c>
      <c r="B3" s="4" t="s">
        <v>112</v>
      </c>
      <c r="C3" s="4" t="s">
        <v>113</v>
      </c>
      <c r="D3" s="4" t="s">
        <v>114</v>
      </c>
      <c r="E3" s="4" t="s">
        <v>115</v>
      </c>
      <c r="F3" s="4" t="s">
        <v>116</v>
      </c>
      <c r="G3" s="4" t="s">
        <v>117</v>
      </c>
      <c r="H3" s="6" t="s">
        <v>131</v>
      </c>
    </row>
    <row r="4" spans="1:8" x14ac:dyDescent="0.4">
      <c r="A4" t="s">
        <v>118</v>
      </c>
      <c r="B4" t="s">
        <v>19</v>
      </c>
      <c r="C4" s="7">
        <v>24700</v>
      </c>
      <c r="D4" s="7">
        <v>26600</v>
      </c>
      <c r="E4" s="7">
        <v>28500</v>
      </c>
      <c r="F4" s="7">
        <v>30400</v>
      </c>
      <c r="G4" s="7">
        <v>32300</v>
      </c>
      <c r="H4" s="5">
        <f>SUM(TblRangeFixed_5[[#This Row],[第1日]:[第5日]])</f>
        <v>142500</v>
      </c>
    </row>
    <row r="5" spans="1:8" x14ac:dyDescent="0.4">
      <c r="A5" t="s">
        <v>119</v>
      </c>
      <c r="B5" t="s">
        <v>23</v>
      </c>
      <c r="C5" s="7">
        <v>27400</v>
      </c>
      <c r="D5" s="7">
        <v>29300</v>
      </c>
      <c r="E5" s="7">
        <v>31200</v>
      </c>
      <c r="F5" s="7">
        <v>33100</v>
      </c>
      <c r="G5" s="7">
        <v>35000</v>
      </c>
      <c r="H5" s="5">
        <f>SUM(TblRangeFixed_5[[#This Row],[第1日]:[第5日]])</f>
        <v>156000</v>
      </c>
    </row>
    <row r="6" spans="1:8" x14ac:dyDescent="0.4">
      <c r="A6" t="s">
        <v>120</v>
      </c>
      <c r="B6" t="s">
        <v>27</v>
      </c>
      <c r="C6" s="7">
        <v>30100</v>
      </c>
      <c r="D6" s="7">
        <v>32000</v>
      </c>
      <c r="E6" s="7">
        <v>33900</v>
      </c>
      <c r="F6" s="7">
        <v>35800</v>
      </c>
      <c r="G6" s="7">
        <v>37700</v>
      </c>
      <c r="H6" s="5">
        <f>SUM(TblRangeFixed_5[[#This Row],[第1日]:[第5日]])</f>
        <v>169500</v>
      </c>
    </row>
    <row r="7" spans="1:8" x14ac:dyDescent="0.4">
      <c r="A7" t="s">
        <v>121</v>
      </c>
      <c r="B7" t="s">
        <v>31</v>
      </c>
      <c r="C7" s="7">
        <v>32800</v>
      </c>
      <c r="D7" s="7">
        <v>34700</v>
      </c>
      <c r="E7" s="7">
        <v>36600</v>
      </c>
      <c r="F7" s="7">
        <v>38500</v>
      </c>
      <c r="G7" s="7">
        <v>40400</v>
      </c>
      <c r="H7" s="5">
        <f>SUM(TblRangeFixed_5[[#This Row],[第1日]:[第5日]])</f>
        <v>183000</v>
      </c>
    </row>
    <row r="8" spans="1:8" x14ac:dyDescent="0.4">
      <c r="A8" t="s">
        <v>122</v>
      </c>
      <c r="B8" t="s">
        <v>35</v>
      </c>
      <c r="C8" s="7">
        <v>35500</v>
      </c>
      <c r="D8" s="7">
        <v>37400</v>
      </c>
      <c r="E8" s="7">
        <v>39300</v>
      </c>
      <c r="F8" s="7">
        <v>41200</v>
      </c>
      <c r="G8" s="7">
        <v>43100</v>
      </c>
      <c r="H8" s="5">
        <f>SUM(TblRangeFixed_5[[#This Row],[第1日]:[第5日]])</f>
        <v>196500</v>
      </c>
    </row>
    <row r="9" spans="1:8" x14ac:dyDescent="0.4">
      <c r="A9" t="s">
        <v>123</v>
      </c>
      <c r="B9" t="s">
        <v>39</v>
      </c>
      <c r="C9" s="7">
        <v>38200</v>
      </c>
      <c r="D9" s="7">
        <v>40100</v>
      </c>
      <c r="E9" s="7">
        <v>42000</v>
      </c>
      <c r="F9" s="7">
        <v>43900</v>
      </c>
      <c r="G9" s="7">
        <v>45800</v>
      </c>
      <c r="H9" s="5">
        <f>SUM(TblRangeFixed_5[[#This Row],[第1日]:[第5日]])</f>
        <v>210000</v>
      </c>
    </row>
    <row r="10" spans="1:8" x14ac:dyDescent="0.4">
      <c r="A10" t="s">
        <v>124</v>
      </c>
      <c r="B10" t="s">
        <v>43</v>
      </c>
      <c r="C10" s="7">
        <v>40900</v>
      </c>
      <c r="D10" s="7">
        <v>42800</v>
      </c>
      <c r="E10" s="7">
        <v>44700</v>
      </c>
      <c r="F10" s="7">
        <v>46600</v>
      </c>
      <c r="G10" s="7">
        <v>12500</v>
      </c>
      <c r="H10" s="5">
        <f>SUM(TblRangeFixed_5[[#This Row],[第1日]:[第5日]])</f>
        <v>187500</v>
      </c>
    </row>
    <row r="11" spans="1:8" x14ac:dyDescent="0.4">
      <c r="A11" t="s">
        <v>125</v>
      </c>
      <c r="B11" t="s">
        <v>46</v>
      </c>
      <c r="C11" s="7">
        <v>43600</v>
      </c>
      <c r="D11" s="7">
        <v>45500</v>
      </c>
      <c r="E11" s="7">
        <v>47400</v>
      </c>
      <c r="F11" s="7">
        <v>13300</v>
      </c>
      <c r="G11" s="7">
        <v>15200</v>
      </c>
      <c r="H11" s="5">
        <f>SUM(TblRangeFixed_5[[#This Row],[第1日]:[第5日]])</f>
        <v>165000</v>
      </c>
    </row>
    <row r="12" spans="1:8" x14ac:dyDescent="0.4">
      <c r="A12" t="s">
        <v>126</v>
      </c>
      <c r="B12" t="s">
        <v>48</v>
      </c>
      <c r="C12" s="7">
        <v>46300</v>
      </c>
      <c r="D12" s="7">
        <v>12200</v>
      </c>
      <c r="E12" s="7">
        <v>14100</v>
      </c>
      <c r="F12" s="7">
        <v>16000</v>
      </c>
      <c r="G12" s="7">
        <v>17900</v>
      </c>
      <c r="H12" s="5">
        <f>SUM(TblRangeFixed_5[[#This Row],[第1日]:[第5日]])</f>
        <v>106500</v>
      </c>
    </row>
    <row r="13" spans="1:8" x14ac:dyDescent="0.4">
      <c r="A13" t="s">
        <v>127</v>
      </c>
      <c r="B13" t="s">
        <v>50</v>
      </c>
      <c r="C13" s="7">
        <v>13000</v>
      </c>
      <c r="D13" s="7">
        <v>14900</v>
      </c>
      <c r="E13" s="7">
        <v>16800</v>
      </c>
      <c r="F13" s="7">
        <v>18700</v>
      </c>
      <c r="G13" s="7">
        <v>20600</v>
      </c>
      <c r="H13" s="5">
        <f>SUM(TblRangeFixed_5[[#This Row],[第1日]:[第5日]])</f>
        <v>84000</v>
      </c>
    </row>
    <row r="14" spans="1:8" x14ac:dyDescent="0.4">
      <c r="A14" t="s">
        <v>128</v>
      </c>
      <c r="B14" t="s">
        <v>53</v>
      </c>
      <c r="C14" s="7">
        <v>15700</v>
      </c>
      <c r="D14" s="7">
        <v>17600</v>
      </c>
      <c r="E14" s="7">
        <v>19500</v>
      </c>
      <c r="F14" s="7">
        <v>21400</v>
      </c>
      <c r="G14" s="7">
        <v>23300</v>
      </c>
      <c r="H14" s="5">
        <f>SUM(TblRangeFixed_5[[#This Row],[第1日]:[第5日]])</f>
        <v>97500</v>
      </c>
    </row>
    <row r="15" spans="1:8" x14ac:dyDescent="0.4">
      <c r="A15" t="s">
        <v>129</v>
      </c>
      <c r="B15" t="s">
        <v>55</v>
      </c>
      <c r="C15" s="7">
        <v>18400</v>
      </c>
      <c r="D15" s="7">
        <v>20300</v>
      </c>
      <c r="E15" s="7">
        <v>22200</v>
      </c>
      <c r="F15" s="7">
        <v>24100</v>
      </c>
      <c r="G15" s="7">
        <v>26000</v>
      </c>
      <c r="H15" s="5">
        <f>SUM(TblRangeFixed_5[[#This Row],[第1日]:[第5日]])</f>
        <v>111000</v>
      </c>
    </row>
    <row r="16" spans="1:8" x14ac:dyDescent="0.4">
      <c r="A16" t="s">
        <v>130</v>
      </c>
      <c r="B16" t="s">
        <v>57</v>
      </c>
      <c r="C16" s="7">
        <v>21100</v>
      </c>
      <c r="D16" s="7">
        <v>23000</v>
      </c>
      <c r="E16" s="7">
        <v>24900</v>
      </c>
      <c r="F16" s="7">
        <v>26800</v>
      </c>
      <c r="G16" s="7">
        <v>28700</v>
      </c>
      <c r="H16" s="5">
        <f>SUM(TblRangeFixed_5[[#This Row],[第1日]:[第5日]])</f>
        <v>124500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講習判定</vt:lpstr>
      <vt:lpstr>補助員名簿</vt:lpstr>
      <vt:lpstr>催事収入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2026-06-19T03:38:00Z</dcterms:created>
  <dcterms:modified xsi:type="dcterms:W3CDTF">2026-07-06T06:45:32Z</dcterms:modified>
</cp:coreProperties>
</file>